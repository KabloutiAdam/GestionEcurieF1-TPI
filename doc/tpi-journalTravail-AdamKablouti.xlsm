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525F6E55-A2ED-4103-BAE5-A3E32D60C56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C17" i="12"/>
  <c r="C31" i="12"/>
  <c r="C32" i="12"/>
  <c r="B36" i="12"/>
  <c r="C35" i="12"/>
  <c r="C34" i="12"/>
  <c r="C33" i="12"/>
  <c r="B48" i="12"/>
  <c r="C47" i="12"/>
  <c r="C46" i="12"/>
  <c r="C45" i="12"/>
  <c r="C44" i="12"/>
  <c r="B60" i="12"/>
  <c r="C59" i="12"/>
  <c r="C58" i="12"/>
  <c r="C57" i="12"/>
  <c r="C56" i="12"/>
  <c r="B72" i="12"/>
  <c r="C71" i="12"/>
  <c r="C70" i="12"/>
  <c r="C69" i="12"/>
  <c r="C68" i="12"/>
  <c r="C67" i="12"/>
  <c r="B84" i="12"/>
  <c r="C83" i="12"/>
  <c r="C82" i="12"/>
  <c r="C81" i="12"/>
  <c r="C80" i="12"/>
  <c r="C79" i="12"/>
  <c r="C78" i="12"/>
  <c r="B96" i="12"/>
  <c r="C95" i="12"/>
  <c r="C94" i="12"/>
  <c r="C93" i="12"/>
  <c r="C92" i="12"/>
  <c r="B108" i="12"/>
  <c r="C107" i="12"/>
  <c r="C106" i="12"/>
  <c r="C105" i="12"/>
  <c r="C104" i="12"/>
  <c r="C103" i="12"/>
  <c r="C102" i="12"/>
  <c r="B120" i="12"/>
  <c r="C119" i="12"/>
  <c r="C118" i="12"/>
  <c r="B132" i="12"/>
  <c r="C131" i="12"/>
  <c r="C130" i="12"/>
  <c r="C129" i="12"/>
  <c r="B144" i="12"/>
  <c r="C143" i="12"/>
  <c r="C142" i="12"/>
  <c r="C141" i="12"/>
  <c r="C140" i="12"/>
  <c r="C139" i="12"/>
  <c r="B156" i="12"/>
  <c r="C155" i="12"/>
  <c r="C154" i="12"/>
  <c r="C153" i="12"/>
  <c r="C152" i="12"/>
  <c r="B168" i="12"/>
  <c r="C167" i="12"/>
  <c r="C166" i="12"/>
  <c r="C165" i="12"/>
  <c r="C164" i="12"/>
  <c r="C163" i="12"/>
  <c r="B180" i="12"/>
  <c r="C179" i="12"/>
  <c r="C178" i="12"/>
  <c r="C177" i="12"/>
  <c r="C176" i="12"/>
  <c r="B192" i="12"/>
  <c r="C191" i="12"/>
  <c r="C190" i="12"/>
  <c r="C189" i="12"/>
  <c r="C188" i="12"/>
  <c r="C187" i="12"/>
  <c r="C186"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D16" i="1"/>
  <c r="E70" i="1"/>
  <c r="C6" i="12"/>
  <c r="C5" i="12"/>
  <c r="C4" i="12"/>
  <c r="C12" i="12"/>
  <c r="C16" i="12"/>
  <c r="C24" i="12"/>
  <c r="C148" i="12"/>
  <c r="C125" i="12"/>
  <c r="C84" i="12"/>
  <c r="C42" i="12"/>
  <c r="C90" i="12"/>
  <c r="C91" i="12"/>
  <c r="C162" i="12"/>
  <c r="C52" i="12"/>
  <c r="C160" i="12"/>
  <c r="C180" i="12"/>
  <c r="C132" i="12"/>
  <c r="C124" i="12"/>
  <c r="C120" i="12"/>
  <c r="C66" i="12"/>
  <c r="C128" i="12"/>
  <c r="C115" i="12"/>
  <c r="C89" i="12"/>
  <c r="C138" i="12"/>
  <c r="C55" i="12"/>
  <c r="C136" i="12"/>
  <c r="C77" i="12"/>
  <c r="C54" i="12"/>
  <c r="C60" i="12"/>
  <c r="C114" i="12"/>
  <c r="C53" i="12"/>
  <c r="C173" i="12"/>
  <c r="C108" i="12"/>
  <c r="C172" i="12"/>
  <c r="C76" i="12"/>
  <c r="C174" i="12"/>
  <c r="C151" i="12"/>
  <c r="C48" i="12"/>
  <c r="C116" i="12"/>
  <c r="C117" i="12"/>
  <c r="C65" i="12"/>
  <c r="C101" i="12"/>
  <c r="C88" i="12"/>
  <c r="C72" i="12"/>
  <c r="C113" i="12"/>
  <c r="C36" i="12"/>
  <c r="C64" i="12"/>
  <c r="C127" i="12"/>
  <c r="C168" i="12"/>
  <c r="C96" i="12"/>
  <c r="C41" i="12"/>
  <c r="C149" i="12"/>
  <c r="C156" i="12"/>
  <c r="C126" i="12"/>
  <c r="C175" i="12"/>
  <c r="C144" i="12"/>
  <c r="C185" i="12"/>
  <c r="C192" i="12"/>
  <c r="C112" i="12"/>
  <c r="C150" i="12"/>
  <c r="C161" i="12"/>
  <c r="C40" i="12"/>
  <c r="C43" i="12"/>
  <c r="C100" i="12"/>
  <c r="C137" i="12"/>
  <c r="C184" i="12"/>
  <c r="AH9" i="1" l="1"/>
  <c r="G9" i="1"/>
</calcChain>
</file>

<file path=xl/sharedStrings.xml><?xml version="1.0" encoding="utf-8"?>
<sst xmlns="http://schemas.openxmlformats.org/spreadsheetml/2006/main" count="1091" uniqueCount="187">
  <si>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</si>
  <si>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</si>
  <si>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</si>
  <si>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</si>
  <si>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</si>
  <si>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</si>
  <si>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</si>
  <si>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</si>
  <si>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</si>
  <si>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</si>
  <si>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</si>
  <si>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</si>
  <si>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</si>
  <si>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</si>
  <si>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</si>
  <si>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</si>
  <si>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</si>
  <si>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</si>
  <si>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</si>
  <si>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</si>
  <si>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</si>
  <si>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</si>
  <si>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</si>
  <si>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</si>
  <si>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</si>
  <si>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</si>
  <si>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</si>
  <si>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</si>
  <si>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</si>
  <si>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</si>
  <si>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</si>
  <si>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</si>
  <si>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</si>
  <si>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</si>
  <si>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</si>
  <si>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</si>
  <si>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</si>
  <si>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</si>
  <si>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</si>
  <si>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</si>
  <si>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</si>
  <si>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</si>
  <si>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</si>
  <si>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</si>
  <si>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</si>
  <si>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</si>
  <si>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</si>
  <si>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</si>
  <si>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</si>
  <si>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</si>
  <si>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</si>
  <si>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</si>
  <si>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</si>
  <si>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</si>
  <si>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</si>
  <si>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</si>
  <si>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</si>
  <si>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</si>
  <si>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</si>
  <si>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</si>
  <si>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</si>
  <si>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</si>
  <si>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</si>
  <si>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</si>
  <si>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</si>
  <si>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</si>
  <si>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</si>
  <si>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</si>
  <si>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</si>
  <si>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</si>
  <si>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</si>
  <si>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</si>
  <si>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</si>
  <si>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</si>
  <si>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</si>
  <si>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</si>
  <si>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</si>
  <si>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</si>
  <si>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</si>
  <si>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</si>
  <si>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</si>
  <si>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</si>
  <si>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</si>
  <si>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</si>
  <si>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</si>
  <si>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</si>
  <si>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</si>
  <si>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</si>
  <si>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</si>
  <si>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</si>
  <si>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</si>
  <si>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</si>
  <si>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</si>
  <si>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</si>
  <si>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</si>
  <si>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</si>
  <si>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</si>
  <si>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</si>
  <si>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</si>
  <si>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</si>
  <si>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</si>
  <si>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</si>
  <si>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</si>
  <si>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</si>
  <si>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</si>
  <si>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</si>
  <si>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</si>
  <si>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</si>
  <si>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</si>
  <si>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</si>
  <si>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</si>
  <si>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</si>
  <si>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</si>
  <si>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</si>
  <si>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</si>
  <si>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</si>
  <si>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</si>
  <si>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</si>
  <si>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</si>
  <si>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</si>
  <si>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</si>
  <si>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</si>
  <si>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</si>
  <si>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</si>
  <si>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</si>
  <si>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</si>
  <si>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</si>
  <si>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</si>
  <si>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</si>
  <si>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</si>
  <si>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</si>
  <si>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</si>
  <si>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</si>
  <si>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</si>
  <si>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</si>
  <si>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</si>
  <si>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</si>
  <si>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</si>
  <si>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</si>
  <si>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</si>
  <si>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</si>
  <si>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</si>
  <si>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</si>
  <si>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</si>
  <si>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</si>
  <si>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</si>
  <si>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</si>
  <si>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</si>
  <si>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</si>
  <si>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</si>
  <si>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</si>
  <si>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</si>
  <si>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</si>
  <si>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</si>
  <si>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</si>
  <si>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</si>
  <si>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</si>
  <si>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</si>
  <si>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</si>
  <si>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</si>
  <si>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</si>
  <si>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</si>
  <si>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</si>
  <si>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</si>
  <si>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</si>
  <si>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</si>
  <si>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</si>
  <si>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</si>
  <si>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</si>
  <si>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</si>
  <si>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</si>
  <si>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</si>
  <si>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</si>
  <si>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</si>
  <si>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</si>
  <si>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</si>
  <si>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</si>
  <si>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</si>
  <si>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46h10min</t>
  </si>
  <si>
    <t>- 43h10min</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</si>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</sst>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c:v>
              </c:pt>
              <c:pt idx="2">
                <c:v>7.0799999237060547</c:v>
              </c:pt>
              <c:pt idx="3">
                <c:v>2.6700000762939453</c:v>
              </c:pt>
              <c:pt idx="4">
                <c:v>3.0799999237060547</c:v>
              </c:pt>
              <c:pt idx="5">
                <c:v>1.5</c:v>
              </c:pt>
              <c:pt idx="6">
                <c:v>1.5800000429153442</c:v>
              </c:pt>
              <c:pt idx="7">
                <c:v>1.0800000429153442</c:v>
              </c:pt>
              <c:pt idx="8">
                <c:v>1.5800000429153442</c:v>
              </c:pt>
              <c:pt idx="9">
                <c:v>3.6700000762939453</c:v>
              </c:pt>
              <c:pt idx="10">
                <c:v>1.4199999570846558</c:v>
              </c:pt>
              <c:pt idx="11">
                <c:v>6.3299999237060547</c:v>
              </c:pt>
              <c:pt idx="12">
                <c:v>0</c:v>
              </c:pt>
              <c:pt idx="13">
                <c:v>2.5</c:v>
              </c:pt>
              <c:pt idx="14">
                <c:v>0</c:v>
              </c:pt>
              <c:pt idx="15">
                <c:v>0</c:v>
              </c:pt>
              <c:pt idx="16">
                <c:v>0</c:v>
              </c:pt>
              <c:pt idx="17">
                <c:v>0</c:v>
              </c:pt>
              <c:pt idx="18">
                <c:v>0.67000001668930054</c:v>
              </c:pt>
              <c:pt idx="19">
                <c:v>10.579999923706055</c:v>
              </c:pt>
              <c:pt idx="20">
                <c:v>0</c:v>
              </c:pt>
              <c:pt idx="21">
                <c:v>0</c:v>
              </c:pt>
              <c:pt idx="22">
                <c:v>1.4199999570846558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Q36" sqref="Q36"/>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178</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179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53h20min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1h</v>
      </c>
      <c r="E18" s="168">
        <v>12</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6h30min</v>
      </c>
      <c r="E42" s="168">
        <v>78</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2h50min</v>
      </c>
      <c r="E44" s="168">
        <v>34</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0h50min</v>
      </c>
      <c r="E52" s="170">
        <v>10</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10h35min</v>
      </c>
      <c r="E54" s="168">
        <v>127</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1h35min</v>
      </c>
      <c r="E60" s="168">
        <v>19</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640</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53h20min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44" priority="27" operator="greaterThan">
      <formula>60</formula>
    </cfRule>
  </conditionalFormatting>
  <conditionalFormatting sqref="B312">
    <cfRule type="cellIs" dxfId="43" priority="26" operator="greaterThan">
      <formula>60</formula>
    </cfRule>
  </conditionalFormatting>
  <conditionalFormatting sqref="B300">
    <cfRule type="cellIs" dxfId="42" priority="25" operator="greaterThan">
      <formula>60</formula>
    </cfRule>
  </conditionalFormatting>
  <conditionalFormatting sqref="B288">
    <cfRule type="cellIs" dxfId="41" priority="24" operator="greaterThan">
      <formula>60</formula>
    </cfRule>
  </conditionalFormatting>
  <conditionalFormatting sqref="B276">
    <cfRule type="cellIs" dxfId="40" priority="23" operator="greaterThan">
      <formula>60</formula>
    </cfRule>
  </conditionalFormatting>
  <conditionalFormatting sqref="B264">
    <cfRule type="cellIs" dxfId="39" priority="22" operator="greaterThan">
      <formula>60</formula>
    </cfRule>
  </conditionalFormatting>
  <conditionalFormatting sqref="B252">
    <cfRule type="cellIs" dxfId="38" priority="21" operator="greaterThan">
      <formula>60</formula>
    </cfRule>
  </conditionalFormatting>
  <conditionalFormatting sqref="B240">
    <cfRule type="cellIs" dxfId="37" priority="20" operator="greaterThan">
      <formula>60</formula>
    </cfRule>
  </conditionalFormatting>
  <conditionalFormatting sqref="B228">
    <cfRule type="cellIs" dxfId="36" priority="19" operator="greaterThan">
      <formula>60</formula>
    </cfRule>
  </conditionalFormatting>
  <conditionalFormatting sqref="B216">
    <cfRule type="cellIs" dxfId="35" priority="18" operator="greaterThan">
      <formula>60</formula>
    </cfRule>
  </conditionalFormatting>
  <conditionalFormatting sqref="B204">
    <cfRule type="cellIs" dxfId="34" priority="17" operator="greaterThan">
      <formula>60</formula>
    </cfRule>
  </conditionalFormatting>
  <conditionalFormatting sqref="B192">
    <cfRule type="cellIs" dxfId="33" priority="16" operator="greaterThan">
      <formula>60</formula>
    </cfRule>
  </conditionalFormatting>
  <conditionalFormatting sqref="B180">
    <cfRule type="cellIs" dxfId="32" priority="15" operator="greaterThan">
      <formula>60</formula>
    </cfRule>
  </conditionalFormatting>
  <conditionalFormatting sqref="B168">
    <cfRule type="cellIs" dxfId="31" priority="14" operator="greaterThan">
      <formula>60</formula>
    </cfRule>
  </conditionalFormatting>
  <conditionalFormatting sqref="B156">
    <cfRule type="cellIs" dxfId="30" priority="13" operator="greaterThan">
      <formula>60</formula>
    </cfRule>
  </conditionalFormatting>
  <conditionalFormatting sqref="B144">
    <cfRule type="cellIs" dxfId="29" priority="12" operator="greaterThan">
      <formula>60</formula>
    </cfRule>
  </conditionalFormatting>
  <conditionalFormatting sqref="B132">
    <cfRule type="cellIs" dxfId="28" priority="11" operator="greaterThan">
      <formula>60</formula>
    </cfRule>
  </conditionalFormatting>
  <conditionalFormatting sqref="B120">
    <cfRule type="cellIs" dxfId="27" priority="10" operator="greaterThan">
      <formula>60</formula>
    </cfRule>
  </conditionalFormatting>
  <conditionalFormatting sqref="B108">
    <cfRule type="cellIs" dxfId="26" priority="9" operator="greaterThan">
      <formula>60</formula>
    </cfRule>
  </conditionalFormatting>
  <conditionalFormatting sqref="B96">
    <cfRule type="cellIs" dxfId="25" priority="8" operator="greaterThan">
      <formula>60</formula>
    </cfRule>
  </conditionalFormatting>
  <conditionalFormatting sqref="B84">
    <cfRule type="cellIs" dxfId="24" priority="7" operator="greaterThan">
      <formula>60</formula>
    </cfRule>
  </conditionalFormatting>
  <conditionalFormatting sqref="B72">
    <cfRule type="cellIs" dxfId="23" priority="6" operator="greaterThan">
      <formula>60</formula>
    </cfRule>
  </conditionalFormatting>
  <conditionalFormatting sqref="B60">
    <cfRule type="cellIs" dxfId="22" priority="5" operator="greaterThan">
      <formula>60</formula>
    </cfRule>
  </conditionalFormatting>
  <conditionalFormatting sqref="B48">
    <cfRule type="cellIs" dxfId="21" priority="4" operator="greaterThan">
      <formula>60</formula>
    </cfRule>
  </conditionalFormatting>
  <conditionalFormatting sqref="B36">
    <cfRule type="cellIs" dxfId="20" priority="3" operator="greaterThan">
      <formula>60</formula>
    </cfRule>
  </conditionalFormatting>
  <conditionalFormatting sqref="B24">
    <cfRule type="cellIs" dxfId="19" priority="2" operator="greaterThan">
      <formula>60</formula>
    </cfRule>
  </conditionalFormatting>
  <conditionalFormatting sqref="B12">
    <cfRule type="cellIs" dxfId="1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93"/>
  <sheetViews>
    <sheetView showGridLines="0" tabSelected="1" zoomScaleNormal="100" zoomScaleSheetLayoutView="98" workbookViewId="0">
      <pane ySplit="1" topLeftCell="A171" activePane="bottomLeft" state="frozen"/>
      <selection pane="bottomLeft" activeCell="A2" sqref="A2:G193"/>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16</v>
      </c>
      <c r="C2" s="146"/>
      <c r="D2" s="139" t="s">
        <v>15</v>
      </c>
      <c r="E2" s="140" t="s">
        <v>113</v>
      </c>
      <c r="F2" s="141" t="s">
        <v>44</v>
      </c>
      <c r="G2" s="39"/>
    </row>
    <row r="3" spans="1:7" s="40" customFormat="1" ht="30" customHeight="1" thickBot="1" x14ac:dyDescent="0.3">
      <c r="A3" s="70" t="s">
        <v>5</v>
      </c>
      <c r="B3" s="143" t="s">
        <v>37</v>
      </c>
      <c r="C3" s="142"/>
      <c r="D3" s="70" t="s">
        <v>13</v>
      </c>
      <c r="E3" s="266" t="s">
        <v>14</v>
      </c>
      <c r="F3" s="267"/>
      <c r="G3" s="39"/>
    </row>
    <row r="4" spans="1:7" s="45" customFormat="1" ht="40.5" x14ac:dyDescent="0.3">
      <c r="A4" s="41" t="s">
        <v>128</v>
      </c>
      <c r="B4" s="42">
        <v>34</v>
      </c>
      <c r="C4" s="134" t="str">
        <f xml:space="preserve"> IF(B4="","",setValueToTime(B4))</f>
        <v>2h50min</v>
      </c>
      <c r="D4" s="43" t="s">
        <v>184</v>
      </c>
      <c r="E4" s="258"/>
      <c r="F4" s="259"/>
      <c r="G4" s="44"/>
    </row>
    <row r="5" spans="1:7" s="45" customFormat="1" ht="27" x14ac:dyDescent="0.3">
      <c r="A5" s="46" t="s">
        <v>71</v>
      </c>
      <c r="B5" s="47">
        <v>2</v>
      </c>
      <c r="C5" s="135" t="str">
        <f t="shared" ref="C5:C11" si="0" xml:space="preserve"> IF(B5="","",setValueToTime(B5))</f>
        <v>0h10min</v>
      </c>
      <c r="D5" s="48" t="s">
        <v>185</v>
      </c>
      <c r="E5" s="260"/>
      <c r="F5" s="261"/>
      <c r="G5" s="44"/>
    </row>
    <row r="6" spans="1:7" s="45" customFormat="1" ht="27" x14ac:dyDescent="0.3">
      <c r="A6" s="46" t="s">
        <v>81</v>
      </c>
      <c r="B6" s="47">
        <v>2</v>
      </c>
      <c r="C6" s="135" t="str">
        <f t="shared" si="0"/>
        <v>0h10min</v>
      </c>
      <c r="D6" s="48" t="s">
        <v>168</v>
      </c>
      <c r="E6" s="260"/>
      <c r="F6" s="261"/>
      <c r="G6" s="44"/>
    </row>
    <row r="7" spans="1:7" s="45" customFormat="1" ht="60" customHeight="1" x14ac:dyDescent="0.3">
      <c r="A7" s="46"/>
      <c r="B7" s="47"/>
      <c r="C7" s="135" t="str">
        <f t="shared" si="0"/>
        <v/>
      </c>
      <c r="D7" s="48"/>
      <c r="E7" s="260" t="s">
        <v>186</v>
      </c>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15</v>
      </c>
      <c r="C14" s="146"/>
      <c r="D14" s="139" t="s">
        <v>15</v>
      </c>
      <c r="E14" s="140" t="s">
        <v>113</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81" x14ac:dyDescent="0.3">
      <c r="A16" s="41" t="s">
        <v>66</v>
      </c>
      <c r="B16" s="42">
        <v>48</v>
      </c>
      <c r="C16" s="134" t="str">
        <f xml:space="preserve"> IF(B16="","",setValueToTime(B16))</f>
        <v>4h</v>
      </c>
      <c r="D16" s="43" t="s">
        <v>183</v>
      </c>
      <c r="E16" s="258"/>
      <c r="F16" s="259"/>
      <c r="G16" s="44"/>
    </row>
    <row r="17" spans="1:7" s="45" customFormat="1" x14ac:dyDescent="0.3">
      <c r="A17" s="46"/>
      <c r="B17" s="47"/>
      <c r="C17" s="135" t="str">
        <f t="shared" ref="C17:C23" si="1" xml:space="preserve"> IF(B17="","",setValueToTime(B17))</f>
        <v/>
      </c>
      <c r="D17" s="48"/>
      <c r="E17" s="260"/>
      <c r="F17" s="261"/>
      <c r="G17" s="44"/>
    </row>
    <row r="18" spans="1:7" s="45" customFormat="1" x14ac:dyDescent="0.3">
      <c r="A18" s="46"/>
      <c r="B18" s="47"/>
      <c r="C18" s="135" t="str">
        <f t="shared" si="1"/>
        <v/>
      </c>
      <c r="D18" s="48"/>
      <c r="E18" s="260"/>
      <c r="F18" s="261"/>
      <c r="G18" s="44"/>
    </row>
    <row r="19" spans="1:7" s="45" customFormat="1" x14ac:dyDescent="0.3">
      <c r="A19" s="46"/>
      <c r="B19" s="47"/>
      <c r="C19" s="135" t="str">
        <f t="shared" si="1"/>
        <v/>
      </c>
      <c r="D19" s="48"/>
      <c r="E19" s="260"/>
      <c r="F19" s="261"/>
      <c r="G19" s="44"/>
    </row>
    <row r="20" spans="1:7" s="45" customFormat="1" x14ac:dyDescent="0.3">
      <c r="A20" s="47"/>
      <c r="B20" s="47"/>
      <c r="C20" s="136" t="str">
        <f t="shared" si="1"/>
        <v/>
      </c>
      <c r="D20" s="48"/>
      <c r="E20" s="260"/>
      <c r="F20" s="261"/>
      <c r="G20" s="44"/>
    </row>
    <row r="21" spans="1:7" s="45" customFormat="1" x14ac:dyDescent="0.3">
      <c r="A21" s="47"/>
      <c r="B21" s="47"/>
      <c r="C21" s="136" t="str">
        <f t="shared" si="1"/>
        <v/>
      </c>
      <c r="D21" s="48"/>
      <c r="E21" s="260"/>
      <c r="F21" s="261"/>
      <c r="G21" s="44"/>
    </row>
    <row r="22" spans="1:7" s="45" customFormat="1" x14ac:dyDescent="0.3">
      <c r="A22" s="47"/>
      <c r="B22" s="47"/>
      <c r="C22" s="136" t="str">
        <f t="shared" si="1"/>
        <v/>
      </c>
      <c r="D22" s="48"/>
      <c r="E22" s="260"/>
      <c r="F22" s="261"/>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48</v>
      </c>
      <c r="C24" s="144" t="str">
        <f xml:space="preserve"> setValueToTime(B24)</f>
        <v>4h</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14</v>
      </c>
      <c r="C26" s="146"/>
      <c r="D26" s="139" t="s">
        <v>15</v>
      </c>
      <c r="E26" s="140" t="s">
        <v>116</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27" x14ac:dyDescent="0.3">
      <c r="A28" s="41" t="s">
        <v>69</v>
      </c>
      <c r="B28" s="42">
        <v>7</v>
      </c>
      <c r="C28" s="134"/>
      <c r="D28" s="43" t="s">
        <v>180</v>
      </c>
      <c r="E28" s="258"/>
      <c r="F28" s="259"/>
      <c r="G28" s="44"/>
    </row>
    <row r="29" spans="1:7" s="45" customFormat="1" ht="67.5" x14ac:dyDescent="0.3">
      <c r="A29" s="46" t="s">
        <v>66</v>
      </c>
      <c r="B29" s="47">
        <v>30</v>
      </c>
      <c r="C29" s="135" t="s">
        <v>181</v>
      </c>
      <c r="D29" s="48" t="s">
        <v>177</v>
      </c>
      <c r="E29" s="260"/>
      <c r="F29" s="261"/>
      <c r="G29" s="44"/>
    </row>
    <row r="30" spans="1:7" s="45" customFormat="1" ht="27" x14ac:dyDescent="0.3">
      <c r="A30" s="46" t="s">
        <v>71</v>
      </c>
      <c r="B30" s="47">
        <v>1</v>
      </c>
      <c r="C30" s="135" t="s">
        <v>182</v>
      </c>
      <c r="D30" s="48" t="s">
        <v>163</v>
      </c>
      <c r="E30" s="260"/>
      <c r="F30" s="261"/>
      <c r="G30" s="44"/>
    </row>
    <row r="31" spans="1:7" s="45" customFormat="1" x14ac:dyDescent="0.3">
      <c r="A31" s="46"/>
      <c r="B31" s="47"/>
      <c r="C31" s="135" t="str">
        <f t="shared" ref="C31:C35" si="2" xml:space="preserve"> IF(B31="","",setValueToTime(B31))</f>
        <v/>
      </c>
      <c r="D31" s="48"/>
      <c r="E31" s="260"/>
      <c r="F31" s="261"/>
      <c r="G31" s="44"/>
    </row>
    <row r="32" spans="1:7" s="45" customFormat="1" x14ac:dyDescent="0.3">
      <c r="A32" s="47"/>
      <c r="B32" s="47"/>
      <c r="C32" s="136" t="str">
        <f t="shared" si="2"/>
        <v/>
      </c>
      <c r="D32" s="48"/>
      <c r="E32" s="260"/>
      <c r="F32" s="261"/>
      <c r="G32" s="44"/>
    </row>
    <row r="33" spans="1:7" s="45" customFormat="1" x14ac:dyDescent="0.3">
      <c r="A33" s="47"/>
      <c r="B33" s="47"/>
      <c r="C33" s="136" t="str">
        <f t="shared" si="2"/>
        <v/>
      </c>
      <c r="D33" s="48"/>
      <c r="E33" s="260"/>
      <c r="F33" s="261"/>
      <c r="G33" s="44"/>
    </row>
    <row r="34" spans="1:7" s="45" customFormat="1" x14ac:dyDescent="0.3">
      <c r="A34" s="47"/>
      <c r="B34" s="47"/>
      <c r="C34" s="136" t="str">
        <f t="shared" si="2"/>
        <v/>
      </c>
      <c r="D34" s="48"/>
      <c r="E34" s="260"/>
      <c r="F34" s="261"/>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38</v>
      </c>
      <c r="C36" s="144" t="str">
        <f xml:space="preserve"> setValueToTime(B36)</f>
        <v>3h10min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13</v>
      </c>
      <c r="C38" s="146"/>
      <c r="D38" s="139" t="s">
        <v>15</v>
      </c>
      <c r="E38" s="140" t="s">
        <v>118</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27" x14ac:dyDescent="0.3">
      <c r="A40" s="41" t="s">
        <v>72</v>
      </c>
      <c r="B40" s="42">
        <v>12</v>
      </c>
      <c r="C40" s="134" t="str">
        <f xml:space="preserve"> IF(B40="","",setValueToTime(B40))</f>
        <v>1h</v>
      </c>
      <c r="D40" s="43" t="s">
        <v>174</v>
      </c>
      <c r="E40" s="258"/>
      <c r="F40" s="259"/>
      <c r="G40" s="44"/>
    </row>
    <row r="41" spans="1:7" s="45" customFormat="1" ht="54" x14ac:dyDescent="0.3">
      <c r="A41" s="46" t="s">
        <v>72</v>
      </c>
      <c r="B41" s="47">
        <v>22</v>
      </c>
      <c r="C41" s="135" t="str">
        <f t="shared" ref="C41:C47" si="3" xml:space="preserve"> IF(B41="","",setValueToTime(B41))</f>
        <v>1h50min</v>
      </c>
      <c r="D41" s="48" t="s">
        <v>175</v>
      </c>
      <c r="E41" s="260"/>
      <c r="F41" s="261"/>
      <c r="G41" s="44"/>
    </row>
    <row r="42" spans="1:7" s="45" customFormat="1" ht="27" x14ac:dyDescent="0.3">
      <c r="A42" s="46" t="s">
        <v>71</v>
      </c>
      <c r="B42" s="47">
        <v>1</v>
      </c>
      <c r="C42" s="135" t="str">
        <f t="shared" si="3"/>
        <v>0h5min</v>
      </c>
      <c r="D42" s="48" t="s">
        <v>176</v>
      </c>
      <c r="E42" s="260"/>
      <c r="F42" s="261"/>
      <c r="G42" s="44"/>
    </row>
    <row r="43" spans="1:7" s="45" customFormat="1" ht="27" x14ac:dyDescent="0.3">
      <c r="A43" s="46" t="s">
        <v>81</v>
      </c>
      <c r="B43" s="47">
        <v>3</v>
      </c>
      <c r="C43" s="135" t="str">
        <f t="shared" si="3"/>
        <v>0h15min</v>
      </c>
      <c r="D43" s="48" t="s">
        <v>168</v>
      </c>
      <c r="E43" s="260"/>
      <c r="F43" s="261"/>
      <c r="G43" s="44"/>
    </row>
    <row r="44" spans="1:7" s="45" customFormat="1" x14ac:dyDescent="0.3">
      <c r="A44" s="47"/>
      <c r="B44" s="47"/>
      <c r="C44" s="136" t="str">
        <f t="shared" si="3"/>
        <v/>
      </c>
      <c r="D44" s="48"/>
      <c r="E44" s="260"/>
      <c r="F44" s="261"/>
      <c r="G44" s="44"/>
    </row>
    <row r="45" spans="1:7" s="45" customFormat="1" x14ac:dyDescent="0.3">
      <c r="A45" s="47"/>
      <c r="B45" s="47"/>
      <c r="C45" s="136" t="str">
        <f t="shared" si="3"/>
        <v/>
      </c>
      <c r="D45" s="48"/>
      <c r="E45" s="260"/>
      <c r="F45" s="261"/>
      <c r="G45" s="44"/>
    </row>
    <row r="46" spans="1:7" s="45" customFormat="1" x14ac:dyDescent="0.3">
      <c r="A46" s="47"/>
      <c r="B46" s="47"/>
      <c r="C46" s="136" t="str">
        <f t="shared" si="3"/>
        <v/>
      </c>
      <c r="D46" s="48"/>
      <c r="E46" s="260"/>
      <c r="F46" s="261"/>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38</v>
      </c>
      <c r="C48" s="144" t="str">
        <f xml:space="preserve"> setValueToTime(B48)</f>
        <v>3h10min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12</v>
      </c>
      <c r="C50" s="146"/>
      <c r="D50" s="139" t="s">
        <v>15</v>
      </c>
      <c r="E50" s="140" t="s">
        <v>118</v>
      </c>
      <c r="F50" s="141" t="s">
        <v>43</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72</v>
      </c>
      <c r="B52" s="42">
        <v>19</v>
      </c>
      <c r="C52" s="134" t="str">
        <f xml:space="preserve"> IF(B52="","",setValueToTime(B52))</f>
        <v>1h35min</v>
      </c>
      <c r="D52" s="43" t="s">
        <v>120</v>
      </c>
      <c r="E52" s="258"/>
      <c r="F52" s="259"/>
      <c r="G52" s="44"/>
    </row>
    <row r="53" spans="1:7" s="45" customFormat="1" ht="40.5" x14ac:dyDescent="0.3">
      <c r="A53" s="46" t="s">
        <v>63</v>
      </c>
      <c r="B53" s="47">
        <v>11</v>
      </c>
      <c r="C53" s="135" t="str">
        <f t="shared" ref="C53:C59" si="4" xml:space="preserve"> IF(B53="","",setValueToTime(B53))</f>
        <v>0h55min</v>
      </c>
      <c r="D53" s="48" t="s">
        <v>171</v>
      </c>
      <c r="E53" s="260"/>
      <c r="F53" s="261"/>
      <c r="G53" s="44"/>
    </row>
    <row r="54" spans="1:7" s="45" customFormat="1" ht="40.5" x14ac:dyDescent="0.3">
      <c r="A54" s="46" t="s">
        <v>64</v>
      </c>
      <c r="B54" s="47">
        <v>12</v>
      </c>
      <c r="C54" s="135" t="str">
        <f t="shared" si="4"/>
        <v>1h</v>
      </c>
      <c r="D54" s="48" t="s">
        <v>172</v>
      </c>
      <c r="E54" s="260"/>
      <c r="F54" s="261"/>
      <c r="G54" s="44"/>
    </row>
    <row r="55" spans="1:7" s="45" customFormat="1" ht="40.5" x14ac:dyDescent="0.3">
      <c r="A55" s="46" t="s">
        <v>63</v>
      </c>
      <c r="B55" s="47">
        <v>6</v>
      </c>
      <c r="C55" s="135" t="str">
        <f t="shared" si="4"/>
        <v>0h30min</v>
      </c>
      <c r="D55" s="48" t="s">
        <v>173</v>
      </c>
      <c r="E55" s="260"/>
      <c r="F55" s="261"/>
      <c r="G55" s="44"/>
    </row>
    <row r="56" spans="1:7" s="45" customFormat="1" x14ac:dyDescent="0.3">
      <c r="A56" s="47"/>
      <c r="B56" s="47"/>
      <c r="C56" s="136" t="str">
        <f t="shared" si="4"/>
        <v/>
      </c>
      <c r="D56" s="48"/>
      <c r="E56" s="260"/>
      <c r="F56" s="261"/>
      <c r="G56" s="44"/>
    </row>
    <row r="57" spans="1:7" s="45" customFormat="1" x14ac:dyDescent="0.3">
      <c r="A57" s="47"/>
      <c r="B57" s="47"/>
      <c r="C57" s="136" t="str">
        <f t="shared" si="4"/>
        <v/>
      </c>
      <c r="D57" s="48"/>
      <c r="E57" s="260"/>
      <c r="F57" s="261"/>
      <c r="G57" s="44"/>
    </row>
    <row r="58" spans="1:7" s="45" customFormat="1" x14ac:dyDescent="0.3">
      <c r="A58" s="47"/>
      <c r="B58" s="47"/>
      <c r="C58" s="136" t="str">
        <f t="shared" si="4"/>
        <v/>
      </c>
      <c r="D58" s="48"/>
      <c r="E58" s="260"/>
      <c r="F58" s="261"/>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48</v>
      </c>
      <c r="C60" s="144" t="str">
        <f xml:space="preserve"> setValueToTime(B60)</f>
        <v>4h</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11</v>
      </c>
      <c r="C62" s="146"/>
      <c r="D62" s="139" t="s">
        <v>15</v>
      </c>
      <c r="E62" s="140" t="s">
        <v>46</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40.5" x14ac:dyDescent="0.3">
      <c r="A64" s="46" t="s">
        <v>64</v>
      </c>
      <c r="B64" s="47">
        <v>26</v>
      </c>
      <c r="C64" s="135" t="str">
        <f t="shared" ref="C64" si="5" xml:space="preserve"> IF(B64="","",setValueToTime(B64))</f>
        <v>2h10min</v>
      </c>
      <c r="D64" s="48" t="s">
        <v>170</v>
      </c>
      <c r="E64" s="258"/>
      <c r="F64" s="259"/>
      <c r="G64" s="44"/>
    </row>
    <row r="65" spans="1:7" s="45" customFormat="1" ht="27" x14ac:dyDescent="0.3">
      <c r="A65" s="46" t="s">
        <v>71</v>
      </c>
      <c r="B65" s="47">
        <v>1</v>
      </c>
      <c r="C65" s="135" t="str">
        <f t="shared" ref="C65:C71" si="6" xml:space="preserve"> IF(B65="","",setValueToTime(B65))</f>
        <v>0h5min</v>
      </c>
      <c r="D65" s="48" t="s">
        <v>163</v>
      </c>
      <c r="E65" s="260"/>
      <c r="F65" s="261"/>
      <c r="G65" s="44"/>
    </row>
    <row r="66" spans="1:7" s="45" customFormat="1" ht="27" x14ac:dyDescent="0.3">
      <c r="A66" s="46" t="s">
        <v>81</v>
      </c>
      <c r="B66" s="47">
        <v>2</v>
      </c>
      <c r="C66" s="135" t="str">
        <f t="shared" si="6"/>
        <v>0h10min</v>
      </c>
      <c r="D66" s="48" t="s">
        <v>168</v>
      </c>
      <c r="E66" s="260"/>
      <c r="F66" s="261"/>
      <c r="G66" s="44"/>
    </row>
    <row r="67" spans="1:7" s="45" customFormat="1" x14ac:dyDescent="0.3">
      <c r="A67" s="46"/>
      <c r="B67" s="47"/>
      <c r="C67" s="135" t="str">
        <f t="shared" si="6"/>
        <v/>
      </c>
      <c r="D67" s="48"/>
      <c r="E67" s="260"/>
      <c r="F67" s="261"/>
      <c r="G67" s="44"/>
    </row>
    <row r="68" spans="1:7" s="45" customFormat="1" x14ac:dyDescent="0.3">
      <c r="A68" s="47"/>
      <c r="B68" s="47"/>
      <c r="C68" s="136" t="str">
        <f t="shared" si="6"/>
        <v/>
      </c>
      <c r="D68" s="48"/>
      <c r="E68" s="260"/>
      <c r="F68" s="261"/>
      <c r="G68" s="44"/>
    </row>
    <row r="69" spans="1:7" s="45" customFormat="1" x14ac:dyDescent="0.3">
      <c r="A69" s="47"/>
      <c r="B69" s="47"/>
      <c r="C69" s="136" t="str">
        <f t="shared" si="6"/>
        <v/>
      </c>
      <c r="D69" s="48"/>
      <c r="E69" s="260"/>
      <c r="F69" s="261"/>
      <c r="G69" s="44"/>
    </row>
    <row r="70" spans="1:7" s="45" customFormat="1" x14ac:dyDescent="0.3">
      <c r="A70" s="47"/>
      <c r="B70" s="47"/>
      <c r="C70" s="136" t="str">
        <f t="shared" si="6"/>
        <v/>
      </c>
      <c r="D70" s="48"/>
      <c r="E70" s="260"/>
      <c r="F70" s="261"/>
      <c r="G70" s="44"/>
    </row>
    <row r="71" spans="1:7" s="45" customFormat="1" ht="15" thickBot="1" x14ac:dyDescent="0.35">
      <c r="A71" s="49"/>
      <c r="B71" s="49"/>
      <c r="C71" s="137" t="str">
        <f t="shared" si="6"/>
        <v/>
      </c>
      <c r="D71" s="50"/>
      <c r="E71" s="262"/>
      <c r="F71" s="263"/>
      <c r="G71" s="44"/>
    </row>
    <row r="72" spans="1:7" s="45" customFormat="1" ht="15" thickBot="1" x14ac:dyDescent="0.35">
      <c r="A72" s="144" t="s">
        <v>25</v>
      </c>
      <c r="B72" s="75">
        <f>SUM(B64:B71)</f>
        <v>29</v>
      </c>
      <c r="C72" s="144" t="str">
        <f xml:space="preserve"> setValueToTime(B72)</f>
        <v>2h25min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10</v>
      </c>
      <c r="C74" s="146"/>
      <c r="D74" s="139" t="s">
        <v>15</v>
      </c>
      <c r="E74" s="140" t="s">
        <v>46</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64</v>
      </c>
      <c r="B76" s="42">
        <v>20</v>
      </c>
      <c r="C76" s="134" t="str">
        <f xml:space="preserve"> IF(B76="","",setValueToTime(B76))</f>
        <v>1h40min</v>
      </c>
      <c r="D76" s="43" t="s">
        <v>169</v>
      </c>
      <c r="E76" s="258"/>
      <c r="F76" s="259"/>
      <c r="G76" s="44"/>
    </row>
    <row r="77" spans="1:7" s="45" customFormat="1" ht="40.5" x14ac:dyDescent="0.3">
      <c r="A77" s="46" t="s">
        <v>64</v>
      </c>
      <c r="B77" s="47">
        <v>18</v>
      </c>
      <c r="C77" s="135" t="str">
        <f t="shared" ref="C77:C83" si="7" xml:space="preserve"> IF(B77="","",setValueToTime(B77))</f>
        <v>1h30min</v>
      </c>
      <c r="D77" s="48" t="s">
        <v>170</v>
      </c>
      <c r="E77" s="260"/>
      <c r="F77" s="261"/>
      <c r="G77" s="44"/>
    </row>
    <row r="78" spans="1:7" s="45" customFormat="1" x14ac:dyDescent="0.3">
      <c r="A78" s="46"/>
      <c r="B78" s="47"/>
      <c r="C78" s="135" t="str">
        <f t="shared" si="7"/>
        <v/>
      </c>
      <c r="D78" s="48"/>
      <c r="E78" s="260"/>
      <c r="F78" s="261"/>
      <c r="G78" s="44"/>
    </row>
    <row r="79" spans="1:7" s="45" customFormat="1" x14ac:dyDescent="0.3">
      <c r="A79" s="46"/>
      <c r="B79" s="47"/>
      <c r="C79" s="135" t="str">
        <f t="shared" si="7"/>
        <v/>
      </c>
      <c r="D79" s="48"/>
      <c r="E79" s="260"/>
      <c r="F79" s="261"/>
      <c r="G79" s="44"/>
    </row>
    <row r="80" spans="1:7" s="45" customFormat="1" x14ac:dyDescent="0.3">
      <c r="A80" s="47"/>
      <c r="B80" s="47"/>
      <c r="C80" s="136" t="str">
        <f t="shared" si="7"/>
        <v/>
      </c>
      <c r="D80" s="48"/>
      <c r="E80" s="260"/>
      <c r="F80" s="261"/>
      <c r="G80" s="44"/>
    </row>
    <row r="81" spans="1:7" s="45" customFormat="1" x14ac:dyDescent="0.3">
      <c r="A81" s="47"/>
      <c r="B81" s="47"/>
      <c r="C81" s="136" t="str">
        <f t="shared" si="7"/>
        <v/>
      </c>
      <c r="D81" s="48"/>
      <c r="E81" s="260"/>
      <c r="F81" s="261"/>
      <c r="G81" s="44"/>
    </row>
    <row r="82" spans="1:7" s="45" customFormat="1" x14ac:dyDescent="0.3">
      <c r="A82" s="47"/>
      <c r="B82" s="47"/>
      <c r="C82" s="136" t="str">
        <f t="shared" si="7"/>
        <v/>
      </c>
      <c r="D82" s="48"/>
      <c r="E82" s="260"/>
      <c r="F82" s="261"/>
      <c r="G82" s="44"/>
    </row>
    <row r="83" spans="1:7" s="45" customFormat="1" ht="15" thickBot="1" x14ac:dyDescent="0.35">
      <c r="A83" s="49"/>
      <c r="B83" s="49"/>
      <c r="C83" s="137" t="str">
        <f t="shared" si="7"/>
        <v/>
      </c>
      <c r="D83" s="50"/>
      <c r="E83" s="262"/>
      <c r="F83" s="263"/>
      <c r="G83" s="44"/>
    </row>
    <row r="84" spans="1:7" s="45" customFormat="1" ht="15" thickBot="1" x14ac:dyDescent="0.35">
      <c r="A84" s="144" t="s">
        <v>25</v>
      </c>
      <c r="B84" s="75">
        <f>SUM(B76:B83)</f>
        <v>38</v>
      </c>
      <c r="C84" s="144" t="str">
        <f xml:space="preserve"> setValueToTime(B84)</f>
        <v>3h10min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9</v>
      </c>
      <c r="C86" s="146"/>
      <c r="D86" s="139" t="s">
        <v>15</v>
      </c>
      <c r="E86" s="140" t="s">
        <v>49</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1" t="s">
        <v>72</v>
      </c>
      <c r="B88" s="42">
        <v>20</v>
      </c>
      <c r="C88" s="134" t="str">
        <f xml:space="preserve"> IF(B88="","",setValueToTime(B88))</f>
        <v>1h40min</v>
      </c>
      <c r="D88" s="43" t="s">
        <v>166</v>
      </c>
      <c r="E88" s="258"/>
      <c r="F88" s="259"/>
      <c r="G88" s="44"/>
    </row>
    <row r="89" spans="1:7" s="45" customFormat="1" ht="27" x14ac:dyDescent="0.3">
      <c r="A89" s="46" t="s">
        <v>91</v>
      </c>
      <c r="B89" s="47">
        <v>15</v>
      </c>
      <c r="C89" s="135" t="str">
        <f t="shared" ref="C89:C95" si="8" xml:space="preserve"> IF(B89="","",setValueToTime(B89))</f>
        <v>1h15min</v>
      </c>
      <c r="D89" s="48" t="s">
        <v>167</v>
      </c>
      <c r="E89" s="260"/>
      <c r="F89" s="261"/>
      <c r="G89" s="44"/>
    </row>
    <row r="90" spans="1:7" s="45" customFormat="1" ht="27" x14ac:dyDescent="0.3">
      <c r="A90" s="46" t="s">
        <v>71</v>
      </c>
      <c r="B90" s="47">
        <v>1</v>
      </c>
      <c r="C90" s="135" t="str">
        <f t="shared" si="8"/>
        <v>0h5min</v>
      </c>
      <c r="D90" s="48" t="s">
        <v>163</v>
      </c>
      <c r="E90" s="260"/>
      <c r="F90" s="261"/>
      <c r="G90" s="44"/>
    </row>
    <row r="91" spans="1:7" s="45" customFormat="1" ht="27" x14ac:dyDescent="0.3">
      <c r="A91" s="46" t="s">
        <v>81</v>
      </c>
      <c r="B91" s="47">
        <v>2</v>
      </c>
      <c r="C91" s="135" t="str">
        <f t="shared" si="8"/>
        <v>0h10min</v>
      </c>
      <c r="D91" s="48" t="s">
        <v>168</v>
      </c>
      <c r="E91" s="260"/>
      <c r="F91" s="261"/>
      <c r="G91" s="44"/>
    </row>
    <row r="92" spans="1:7" s="45" customFormat="1" x14ac:dyDescent="0.3">
      <c r="A92" s="47"/>
      <c r="B92" s="47"/>
      <c r="C92" s="136" t="str">
        <f t="shared" si="8"/>
        <v/>
      </c>
      <c r="D92" s="48"/>
      <c r="E92" s="260"/>
      <c r="F92" s="261"/>
      <c r="G92" s="44"/>
    </row>
    <row r="93" spans="1:7" s="45" customFormat="1" x14ac:dyDescent="0.3">
      <c r="A93" s="47"/>
      <c r="B93" s="47"/>
      <c r="C93" s="136" t="str">
        <f t="shared" si="8"/>
        <v/>
      </c>
      <c r="D93" s="48"/>
      <c r="E93" s="260"/>
      <c r="F93" s="261"/>
      <c r="G93" s="44"/>
    </row>
    <row r="94" spans="1:7" s="45" customFormat="1" x14ac:dyDescent="0.3">
      <c r="A94" s="47"/>
      <c r="B94" s="47"/>
      <c r="C94" s="136" t="str">
        <f t="shared" si="8"/>
        <v/>
      </c>
      <c r="D94" s="48"/>
      <c r="E94" s="260"/>
      <c r="F94" s="261"/>
      <c r="G94" s="44"/>
    </row>
    <row r="95" spans="1:7" s="45" customFormat="1" ht="15" thickBot="1" x14ac:dyDescent="0.35">
      <c r="A95" s="49"/>
      <c r="B95" s="49"/>
      <c r="C95" s="137" t="str">
        <f t="shared" si="8"/>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8</v>
      </c>
      <c r="C98" s="146"/>
      <c r="D98" s="139" t="s">
        <v>15</v>
      </c>
      <c r="E98" s="140" t="s">
        <v>49</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90</v>
      </c>
      <c r="B100" s="42">
        <v>19</v>
      </c>
      <c r="C100" s="134" t="str">
        <f xml:space="preserve"> IF(B100="","",setValueToTime(B100))</f>
        <v>1h35min</v>
      </c>
      <c r="D100" s="43" t="s">
        <v>164</v>
      </c>
      <c r="E100" s="258"/>
      <c r="F100" s="259"/>
      <c r="G100" s="44"/>
    </row>
    <row r="101" spans="1:7" s="45" customFormat="1" ht="27" x14ac:dyDescent="0.3">
      <c r="A101" s="46" t="s">
        <v>91</v>
      </c>
      <c r="B101" s="47">
        <v>29</v>
      </c>
      <c r="C101" s="135" t="str">
        <f t="shared" ref="C101:C107" si="9" xml:space="preserve"> IF(B101="","",setValueToTime(B101))</f>
        <v>2h25min</v>
      </c>
      <c r="D101" s="48" t="s">
        <v>165</v>
      </c>
      <c r="E101" s="260"/>
      <c r="F101" s="261"/>
      <c r="G101" s="44"/>
    </row>
    <row r="102" spans="1:7" s="45" customFormat="1" x14ac:dyDescent="0.3">
      <c r="A102" s="46"/>
      <c r="B102" s="47"/>
      <c r="C102" s="135" t="str">
        <f t="shared" si="9"/>
        <v/>
      </c>
      <c r="D102" s="48"/>
      <c r="E102" s="260"/>
      <c r="F102" s="261"/>
      <c r="G102" s="44"/>
    </row>
    <row r="103" spans="1:7" s="45" customFormat="1" x14ac:dyDescent="0.3">
      <c r="A103" s="46"/>
      <c r="B103" s="47"/>
      <c r="C103" s="135" t="str">
        <f t="shared" si="9"/>
        <v/>
      </c>
      <c r="D103" s="48"/>
      <c r="E103" s="260"/>
      <c r="F103" s="261"/>
      <c r="G103" s="44"/>
    </row>
    <row r="104" spans="1:7" s="45" customFormat="1" x14ac:dyDescent="0.3">
      <c r="A104" s="47"/>
      <c r="B104" s="47"/>
      <c r="C104" s="136" t="str">
        <f t="shared" si="9"/>
        <v/>
      </c>
      <c r="D104" s="48"/>
      <c r="E104" s="260"/>
      <c r="F104" s="261"/>
      <c r="G104" s="44"/>
    </row>
    <row r="105" spans="1:7" s="45" customFormat="1" x14ac:dyDescent="0.3">
      <c r="A105" s="47"/>
      <c r="B105" s="47"/>
      <c r="C105" s="136" t="str">
        <f t="shared" si="9"/>
        <v/>
      </c>
      <c r="D105" s="48"/>
      <c r="E105" s="260"/>
      <c r="F105" s="261"/>
      <c r="G105" s="44"/>
    </row>
    <row r="106" spans="1:7" s="45" customFormat="1" x14ac:dyDescent="0.3">
      <c r="A106" s="47"/>
      <c r="B106" s="47"/>
      <c r="C106" s="136" t="str">
        <f t="shared" si="9"/>
        <v/>
      </c>
      <c r="D106" s="48"/>
      <c r="E106" s="260"/>
      <c r="F106" s="261"/>
      <c r="G106" s="44"/>
    </row>
    <row r="107" spans="1:7" s="45" customFormat="1" ht="15" thickBot="1" x14ac:dyDescent="0.35">
      <c r="A107" s="49"/>
      <c r="B107" s="49"/>
      <c r="C107" s="137" t="str">
        <f t="shared" si="9"/>
        <v/>
      </c>
      <c r="D107" s="50"/>
      <c r="E107" s="262"/>
      <c r="F107" s="263"/>
      <c r="G107" s="44"/>
    </row>
    <row r="108" spans="1:7" s="45" customFormat="1" ht="15" thickBot="1" x14ac:dyDescent="0.35">
      <c r="A108" s="144" t="s">
        <v>25</v>
      </c>
      <c r="B108" s="75">
        <f>SUM(B100:B107)</f>
        <v>48</v>
      </c>
      <c r="C108" s="144" t="str">
        <f xml:space="preserve"> setValueToTime(B108)</f>
        <v>4h</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7</v>
      </c>
      <c r="C110" s="146"/>
      <c r="D110" s="139" t="s">
        <v>15</v>
      </c>
      <c r="E110" s="140" t="s">
        <v>52</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27" x14ac:dyDescent="0.3">
      <c r="A112" s="41" t="s">
        <v>62</v>
      </c>
      <c r="B112" s="42">
        <v>6</v>
      </c>
      <c r="C112" s="134" t="str">
        <f xml:space="preserve"> IF(B112="","",setValueToTime(B112))</f>
        <v>0h30min</v>
      </c>
      <c r="D112" s="48" t="s">
        <v>158</v>
      </c>
      <c r="E112" s="258"/>
      <c r="F112" s="259"/>
      <c r="G112" s="44"/>
    </row>
    <row r="113" spans="1:7" s="45" customFormat="1" ht="27" x14ac:dyDescent="0.3">
      <c r="A113" s="46" t="s">
        <v>75</v>
      </c>
      <c r="B113" s="47">
        <v>6</v>
      </c>
      <c r="C113" s="135" t="str">
        <f t="shared" ref="C113:C119" si="10" xml:space="preserve"> IF(B113="","",setValueToTime(B113))</f>
        <v>0h30min</v>
      </c>
      <c r="D113" s="48" t="s">
        <v>159</v>
      </c>
      <c r="E113" s="260"/>
      <c r="F113" s="261"/>
      <c r="G113" s="44"/>
    </row>
    <row r="114" spans="1:7" s="45" customFormat="1" ht="27" x14ac:dyDescent="0.3">
      <c r="A114" s="46" t="s">
        <v>69</v>
      </c>
      <c r="B114" s="47">
        <v>12</v>
      </c>
      <c r="C114" s="135" t="str">
        <f t="shared" si="10"/>
        <v>1h</v>
      </c>
      <c r="D114" s="48" t="s">
        <v>160</v>
      </c>
      <c r="E114" s="260"/>
      <c r="F114" s="261"/>
      <c r="G114" s="44"/>
    </row>
    <row r="115" spans="1:7" s="45" customFormat="1" ht="27" x14ac:dyDescent="0.3">
      <c r="A115" s="46" t="s">
        <v>85</v>
      </c>
      <c r="B115" s="47">
        <v>5</v>
      </c>
      <c r="C115" s="135" t="str">
        <f t="shared" si="10"/>
        <v>0h25min</v>
      </c>
      <c r="D115" s="48" t="s">
        <v>161</v>
      </c>
      <c r="E115" s="260"/>
      <c r="F115" s="261"/>
      <c r="G115" s="44"/>
    </row>
    <row r="116" spans="1:7" s="45" customFormat="1" ht="27" x14ac:dyDescent="0.3">
      <c r="A116" s="47" t="s">
        <v>85</v>
      </c>
      <c r="B116" s="47">
        <v>8</v>
      </c>
      <c r="C116" s="136" t="str">
        <f t="shared" si="10"/>
        <v>0h40min</v>
      </c>
      <c r="D116" s="48" t="s">
        <v>162</v>
      </c>
      <c r="E116" s="260"/>
      <c r="F116" s="261"/>
      <c r="G116" s="44"/>
    </row>
    <row r="117" spans="1:7" s="45" customFormat="1" ht="27" x14ac:dyDescent="0.3">
      <c r="A117" s="47" t="s">
        <v>71</v>
      </c>
      <c r="B117" s="47">
        <v>1</v>
      </c>
      <c r="C117" s="136" t="str">
        <f t="shared" si="10"/>
        <v>0h5min</v>
      </c>
      <c r="D117" s="48" t="s">
        <v>163</v>
      </c>
      <c r="E117" s="260"/>
      <c r="F117" s="261"/>
      <c r="G117" s="44"/>
    </row>
    <row r="118" spans="1:7" s="45" customFormat="1" x14ac:dyDescent="0.3">
      <c r="A118" s="47"/>
      <c r="B118" s="47"/>
      <c r="C118" s="136" t="str">
        <f t="shared" si="10"/>
        <v/>
      </c>
      <c r="D118" s="48"/>
      <c r="E118" s="260"/>
      <c r="F118" s="261"/>
      <c r="G118" s="44"/>
    </row>
    <row r="119" spans="1:7" s="45" customFormat="1" ht="15" thickBot="1" x14ac:dyDescent="0.35">
      <c r="A119" s="49"/>
      <c r="B119" s="49"/>
      <c r="C119" s="137" t="str">
        <f t="shared" si="10"/>
        <v/>
      </c>
      <c r="D119" s="50"/>
      <c r="E119" s="262"/>
      <c r="F119" s="263"/>
      <c r="G119" s="44"/>
    </row>
    <row r="120" spans="1:7" s="45" customFormat="1" ht="15" thickBot="1" x14ac:dyDescent="0.35">
      <c r="A120" s="144" t="s">
        <v>25</v>
      </c>
      <c r="B120" s="75">
        <f>SUM(B112:B119)</f>
        <v>38</v>
      </c>
      <c r="C120" s="144" t="str">
        <f xml:space="preserve"> setValueToTime(B120)</f>
        <v>3h10min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6</v>
      </c>
      <c r="C122" s="146"/>
      <c r="D122" s="139" t="s">
        <v>15</v>
      </c>
      <c r="E122" s="140" t="s">
        <v>54</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72</v>
      </c>
      <c r="B124" s="42">
        <v>14</v>
      </c>
      <c r="C124" s="134" t="str">
        <f xml:space="preserve"> IF(B124="","",setValueToTime(B124))</f>
        <v>1h10min</v>
      </c>
      <c r="D124" s="43" t="s">
        <v>155</v>
      </c>
      <c r="E124" s="258"/>
      <c r="F124" s="259"/>
      <c r="G124" s="44"/>
    </row>
    <row r="125" spans="1:7" s="45" customFormat="1" ht="27" x14ac:dyDescent="0.3">
      <c r="A125" s="46" t="s">
        <v>61</v>
      </c>
      <c r="B125" s="47">
        <v>9</v>
      </c>
      <c r="C125" s="135" t="str">
        <f t="shared" ref="C125:C131" si="11" xml:space="preserve"> IF(B125="","",setValueToTime(B125))</f>
        <v>0h45min</v>
      </c>
      <c r="D125" s="48" t="s">
        <v>156</v>
      </c>
      <c r="E125" s="260"/>
      <c r="F125" s="261"/>
      <c r="G125" s="44"/>
    </row>
    <row r="126" spans="1:7" s="45" customFormat="1" ht="27" x14ac:dyDescent="0.3">
      <c r="A126" s="46" t="s">
        <v>62</v>
      </c>
      <c r="B126" s="47">
        <v>12</v>
      </c>
      <c r="C126" s="135" t="str">
        <f t="shared" si="11"/>
        <v>1h</v>
      </c>
      <c r="D126" s="48" t="s">
        <v>157</v>
      </c>
      <c r="E126" s="260"/>
      <c r="F126" s="261"/>
      <c r="G126" s="44"/>
    </row>
    <row r="127" spans="1:7" s="45" customFormat="1" ht="27" x14ac:dyDescent="0.3">
      <c r="A127" s="46" t="s">
        <v>71</v>
      </c>
      <c r="B127" s="47">
        <v>1</v>
      </c>
      <c r="C127" s="135" t="str">
        <f t="shared" si="11"/>
        <v>0h5min</v>
      </c>
      <c r="D127" s="48" t="s">
        <v>80</v>
      </c>
      <c r="E127" s="260"/>
      <c r="F127" s="261"/>
      <c r="G127" s="44"/>
    </row>
    <row r="128" spans="1:7" s="45" customFormat="1" ht="27" x14ac:dyDescent="0.3">
      <c r="A128" s="47" t="s">
        <v>81</v>
      </c>
      <c r="B128" s="47">
        <v>2</v>
      </c>
      <c r="C128" s="136" t="str">
        <f t="shared" si="11"/>
        <v>0h10min</v>
      </c>
      <c r="D128" s="48" t="s">
        <v>149</v>
      </c>
      <c r="E128" s="260"/>
      <c r="F128" s="261"/>
      <c r="G128" s="44"/>
    </row>
    <row r="129" spans="1:7" s="45" customFormat="1" x14ac:dyDescent="0.3">
      <c r="A129" s="47"/>
      <c r="B129" s="47"/>
      <c r="C129" s="136" t="str">
        <f t="shared" si="11"/>
        <v/>
      </c>
      <c r="D129" s="48"/>
      <c r="E129" s="260"/>
      <c r="F129" s="261"/>
      <c r="G129" s="44"/>
    </row>
    <row r="130" spans="1:7" s="45" customFormat="1" x14ac:dyDescent="0.3">
      <c r="A130" s="47"/>
      <c r="B130" s="47"/>
      <c r="C130" s="136" t="str">
        <f t="shared" si="11"/>
        <v/>
      </c>
      <c r="D130" s="48"/>
      <c r="E130" s="260"/>
      <c r="F130" s="261"/>
      <c r="G130" s="44"/>
    </row>
    <row r="131" spans="1:7" s="45" customFormat="1" ht="15" thickBot="1" x14ac:dyDescent="0.35">
      <c r="A131" s="49"/>
      <c r="B131" s="49"/>
      <c r="C131" s="137" t="str">
        <f t="shared" si="11"/>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5</v>
      </c>
      <c r="C134" s="146"/>
      <c r="D134" s="139" t="s">
        <v>15</v>
      </c>
      <c r="E134" s="140" t="s">
        <v>54</v>
      </c>
      <c r="F134" s="141" t="s">
        <v>43</v>
      </c>
      <c r="G134" s="39"/>
    </row>
    <row r="135" spans="1:7" s="40" customFormat="1" ht="30" customHeight="1" thickBot="1" x14ac:dyDescent="0.3">
      <c r="A135" s="70" t="s">
        <v>5</v>
      </c>
      <c r="B135" s="143" t="s">
        <v>37</v>
      </c>
      <c r="C135" s="142"/>
      <c r="D135" s="70" t="s">
        <v>13</v>
      </c>
      <c r="E135" s="266" t="s">
        <v>14</v>
      </c>
      <c r="F135" s="267"/>
      <c r="G135" s="39"/>
    </row>
    <row r="136" spans="1:7" s="45" customFormat="1" ht="27.75" thickBot="1" x14ac:dyDescent="0.35">
      <c r="A136" s="41" t="s">
        <v>72</v>
      </c>
      <c r="B136" s="42">
        <v>14</v>
      </c>
      <c r="C136" s="134" t="str">
        <f xml:space="preserve"> IF(B136="","",setValueToTime(B136))</f>
        <v>1h10min</v>
      </c>
      <c r="D136" s="43" t="s">
        <v>152</v>
      </c>
      <c r="E136" s="258"/>
      <c r="F136" s="259"/>
      <c r="G136" s="44"/>
    </row>
    <row r="137" spans="1:7" s="45" customFormat="1" ht="27" x14ac:dyDescent="0.3">
      <c r="A137" s="46" t="s">
        <v>61</v>
      </c>
      <c r="B137" s="47">
        <v>28</v>
      </c>
      <c r="C137" s="135" t="str">
        <f t="shared" ref="C137:C143" si="12" xml:space="preserve"> IF(B137="","",setValueToTime(B137))</f>
        <v>2h20min</v>
      </c>
      <c r="D137" s="43" t="s">
        <v>154</v>
      </c>
      <c r="E137" s="260"/>
      <c r="F137" s="261"/>
      <c r="G137" s="44"/>
    </row>
    <row r="138" spans="1:7" s="45" customFormat="1" ht="27" x14ac:dyDescent="0.3">
      <c r="A138" s="46" t="s">
        <v>72</v>
      </c>
      <c r="B138" s="47">
        <v>6</v>
      </c>
      <c r="C138" s="135" t="str">
        <f t="shared" si="12"/>
        <v>0h30min</v>
      </c>
      <c r="D138" s="48" t="s">
        <v>153</v>
      </c>
      <c r="E138" s="260"/>
      <c r="F138" s="261"/>
      <c r="G138" s="44"/>
    </row>
    <row r="139" spans="1:7" s="45" customFormat="1" x14ac:dyDescent="0.3">
      <c r="A139" s="46"/>
      <c r="B139" s="47"/>
      <c r="C139" s="135" t="str">
        <f t="shared" si="12"/>
        <v/>
      </c>
      <c r="D139" s="48"/>
      <c r="E139" s="260"/>
      <c r="F139" s="261"/>
      <c r="G139" s="44"/>
    </row>
    <row r="140" spans="1:7" s="45" customFormat="1" x14ac:dyDescent="0.3">
      <c r="A140" s="47"/>
      <c r="B140" s="47"/>
      <c r="C140" s="136" t="str">
        <f t="shared" si="12"/>
        <v/>
      </c>
      <c r="D140" s="48"/>
      <c r="E140" s="260"/>
      <c r="F140" s="261"/>
      <c r="G140" s="44"/>
    </row>
    <row r="141" spans="1:7" s="45" customFormat="1" x14ac:dyDescent="0.3">
      <c r="A141" s="47"/>
      <c r="B141" s="47"/>
      <c r="C141" s="136" t="str">
        <f t="shared" si="12"/>
        <v/>
      </c>
      <c r="D141" s="48"/>
      <c r="E141" s="260"/>
      <c r="F141" s="261"/>
      <c r="G141" s="44"/>
    </row>
    <row r="142" spans="1:7" s="45" customFormat="1" x14ac:dyDescent="0.3">
      <c r="A142" s="47"/>
      <c r="B142" s="47"/>
      <c r="C142" s="136" t="str">
        <f t="shared" si="12"/>
        <v/>
      </c>
      <c r="D142" s="48"/>
      <c r="E142" s="260"/>
      <c r="F142" s="261"/>
      <c r="G142" s="44"/>
    </row>
    <row r="143" spans="1:7" s="45" customFormat="1" ht="15" thickBot="1" x14ac:dyDescent="0.35">
      <c r="A143" s="49"/>
      <c r="B143" s="49"/>
      <c r="C143" s="137" t="str">
        <f t="shared" si="12"/>
        <v/>
      </c>
      <c r="D143" s="50"/>
      <c r="E143" s="262"/>
      <c r="F143" s="263"/>
      <c r="G143" s="44"/>
    </row>
    <row r="144" spans="1:7" s="45" customFormat="1" ht="15" thickBot="1" x14ac:dyDescent="0.35">
      <c r="A144" s="144" t="s">
        <v>25</v>
      </c>
      <c r="B144" s="75">
        <f>SUM(B136:B143)</f>
        <v>48</v>
      </c>
      <c r="C144" s="144" t="str">
        <f xml:space="preserve"> setValueToTime(B144)</f>
        <v>4h</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4</v>
      </c>
      <c r="C146" s="146"/>
      <c r="D146" s="139" t="s">
        <v>15</v>
      </c>
      <c r="E146" s="140" t="s">
        <v>57</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6" t="s">
        <v>60</v>
      </c>
      <c r="B148" s="47">
        <v>6</v>
      </c>
      <c r="C148" s="135" t="str">
        <f t="shared" ref="C148" si="13" xml:space="preserve"> IF(B148="","",setValueToTime(B148))</f>
        <v>0h30min</v>
      </c>
      <c r="D148" s="48" t="s">
        <v>145</v>
      </c>
      <c r="E148" s="270" t="s">
        <v>147</v>
      </c>
      <c r="F148" s="271"/>
      <c r="G148" s="44"/>
    </row>
    <row r="149" spans="1:7" s="45" customFormat="1" ht="27" x14ac:dyDescent="0.3">
      <c r="A149" s="46" t="s">
        <v>72</v>
      </c>
      <c r="B149" s="47">
        <v>20</v>
      </c>
      <c r="C149" s="135" t="str">
        <f t="shared" ref="C149:C155" si="14" xml:space="preserve"> IF(B149="","",setValueToTime(B149))</f>
        <v>1h40min</v>
      </c>
      <c r="D149" s="48" t="s">
        <v>148</v>
      </c>
      <c r="E149" s="260"/>
      <c r="F149" s="261"/>
      <c r="G149" s="44"/>
    </row>
    <row r="150" spans="1:7" s="45" customFormat="1" ht="27" x14ac:dyDescent="0.3">
      <c r="A150" s="46" t="s">
        <v>71</v>
      </c>
      <c r="B150" s="47">
        <v>1</v>
      </c>
      <c r="C150" s="135" t="str">
        <f t="shared" si="14"/>
        <v>0h5min</v>
      </c>
      <c r="D150" s="48" t="s">
        <v>80</v>
      </c>
      <c r="E150" s="260"/>
      <c r="F150" s="261"/>
      <c r="G150" s="44"/>
    </row>
    <row r="151" spans="1:7" s="45" customFormat="1" ht="27" x14ac:dyDescent="0.3">
      <c r="A151" s="46" t="s">
        <v>81</v>
      </c>
      <c r="B151" s="47">
        <v>2</v>
      </c>
      <c r="C151" s="135" t="str">
        <f t="shared" si="14"/>
        <v>0h10min</v>
      </c>
      <c r="D151" s="48" t="s">
        <v>149</v>
      </c>
      <c r="E151" s="260"/>
      <c r="F151" s="261"/>
      <c r="G151" s="44"/>
    </row>
    <row r="152" spans="1:7" s="45" customFormat="1" x14ac:dyDescent="0.3">
      <c r="A152" s="47"/>
      <c r="B152" s="47"/>
      <c r="C152" s="136" t="str">
        <f t="shared" si="14"/>
        <v/>
      </c>
      <c r="D152" s="48"/>
      <c r="E152" s="260"/>
      <c r="F152" s="261"/>
      <c r="G152" s="44"/>
    </row>
    <row r="153" spans="1:7" s="45" customFormat="1" x14ac:dyDescent="0.3">
      <c r="A153" s="47"/>
      <c r="B153" s="47"/>
      <c r="C153" s="136" t="str">
        <f t="shared" si="14"/>
        <v/>
      </c>
      <c r="D153" s="48"/>
      <c r="E153" s="260"/>
      <c r="F153" s="261"/>
      <c r="G153" s="44"/>
    </row>
    <row r="154" spans="1:7" s="45" customFormat="1" x14ac:dyDescent="0.3">
      <c r="A154" s="47"/>
      <c r="B154" s="47"/>
      <c r="C154" s="136" t="str">
        <f t="shared" si="14"/>
        <v/>
      </c>
      <c r="D154" s="48"/>
      <c r="E154" s="260"/>
      <c r="F154" s="261"/>
      <c r="G154" s="44"/>
    </row>
    <row r="155" spans="1:7" s="45" customFormat="1" ht="15" thickBot="1" x14ac:dyDescent="0.35">
      <c r="A155" s="49"/>
      <c r="B155" s="49"/>
      <c r="C155" s="137" t="str">
        <f t="shared" si="14"/>
        <v/>
      </c>
      <c r="D155" s="50"/>
      <c r="E155" s="262"/>
      <c r="F155" s="263"/>
      <c r="G155" s="44"/>
    </row>
    <row r="156" spans="1:7" s="45" customFormat="1" ht="15" thickBot="1" x14ac:dyDescent="0.35">
      <c r="A156" s="144" t="s">
        <v>25</v>
      </c>
      <c r="B156" s="75">
        <f>SUM(B148:B155)</f>
        <v>29</v>
      </c>
      <c r="C156" s="144" t="str">
        <f xml:space="preserve"> setValueToTime(B156)</f>
        <v>2h25min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3</v>
      </c>
      <c r="C158" s="146"/>
      <c r="D158" s="139" t="s">
        <v>15</v>
      </c>
      <c r="E158" s="140" t="s">
        <v>57</v>
      </c>
      <c r="F158" s="141" t="s">
        <v>43</v>
      </c>
      <c r="G158" s="39"/>
    </row>
    <row r="159" spans="1:7" s="40" customFormat="1" ht="30" customHeight="1" thickBot="1" x14ac:dyDescent="0.3">
      <c r="A159" s="70" t="s">
        <v>5</v>
      </c>
      <c r="B159" s="143" t="s">
        <v>37</v>
      </c>
      <c r="C159" s="142"/>
      <c r="D159" s="70" t="s">
        <v>13</v>
      </c>
      <c r="E159" s="266" t="s">
        <v>14</v>
      </c>
      <c r="F159" s="267"/>
      <c r="G159" s="39"/>
    </row>
    <row r="160" spans="1:7" s="45" customFormat="1" ht="27" x14ac:dyDescent="0.3">
      <c r="A160" s="41" t="s">
        <v>28</v>
      </c>
      <c r="B160" s="42">
        <v>9</v>
      </c>
      <c r="C160" s="134" t="str">
        <f xml:space="preserve"> IF(B160="","",setValueToTime(B160))</f>
        <v>0h45min</v>
      </c>
      <c r="D160" s="43" t="s">
        <v>142</v>
      </c>
      <c r="E160" s="268" t="s">
        <v>150</v>
      </c>
      <c r="F160" s="269"/>
      <c r="G160" s="44"/>
    </row>
    <row r="161" spans="1:7" s="45" customFormat="1" ht="27" x14ac:dyDescent="0.3">
      <c r="A161" s="46" t="s">
        <v>28</v>
      </c>
      <c r="B161" s="47">
        <v>3</v>
      </c>
      <c r="C161" s="135" t="str">
        <f t="shared" ref="C161:C167" si="15" xml:space="preserve"> IF(B161="","",setValueToTime(B161))</f>
        <v>0h15min</v>
      </c>
      <c r="D161" s="196" t="s">
        <v>143</v>
      </c>
      <c r="E161" s="270" t="s">
        <v>151</v>
      </c>
      <c r="F161" s="271"/>
      <c r="G161" s="44"/>
    </row>
    <row r="162" spans="1:7" s="45" customFormat="1" ht="27" x14ac:dyDescent="0.3">
      <c r="A162" s="46" t="s">
        <v>60</v>
      </c>
      <c r="B162" s="47">
        <v>26</v>
      </c>
      <c r="C162" s="135" t="str">
        <f t="shared" si="15"/>
        <v>2h10min</v>
      </c>
      <c r="D162" s="48" t="s">
        <v>145</v>
      </c>
      <c r="E162" s="270" t="s">
        <v>146</v>
      </c>
      <c r="F162" s="271"/>
      <c r="G162" s="44"/>
    </row>
    <row r="163" spans="1:7" s="45" customFormat="1" x14ac:dyDescent="0.3">
      <c r="A163" s="46"/>
      <c r="B163" s="47"/>
      <c r="C163" s="135" t="str">
        <f t="shared" si="15"/>
        <v/>
      </c>
      <c r="D163" s="48"/>
      <c r="E163" s="270"/>
      <c r="F163" s="271"/>
      <c r="G163" s="44"/>
    </row>
    <row r="164" spans="1:7" s="45" customFormat="1" x14ac:dyDescent="0.3">
      <c r="A164" s="47"/>
      <c r="B164" s="47"/>
      <c r="C164" s="136" t="str">
        <f t="shared" si="15"/>
        <v/>
      </c>
      <c r="D164" s="48"/>
      <c r="E164" s="260"/>
      <c r="F164" s="261"/>
      <c r="G164" s="44"/>
    </row>
    <row r="165" spans="1:7" s="45" customFormat="1" x14ac:dyDescent="0.3">
      <c r="A165" s="47"/>
      <c r="B165" s="47"/>
      <c r="C165" s="136" t="str">
        <f t="shared" si="15"/>
        <v/>
      </c>
      <c r="D165" s="48"/>
      <c r="E165" s="260"/>
      <c r="F165" s="261"/>
      <c r="G165" s="44"/>
    </row>
    <row r="166" spans="1:7" s="45" customFormat="1" x14ac:dyDescent="0.3">
      <c r="A166" s="47"/>
      <c r="B166" s="47"/>
      <c r="C166" s="136" t="str">
        <f t="shared" si="15"/>
        <v/>
      </c>
      <c r="D166" s="48"/>
      <c r="E166" s="260"/>
      <c r="F166" s="261"/>
      <c r="G166" s="44"/>
    </row>
    <row r="167" spans="1:7" s="45" customFormat="1" ht="15" thickBot="1" x14ac:dyDescent="0.35">
      <c r="A167" s="49"/>
      <c r="B167" s="49"/>
      <c r="C167" s="137" t="str">
        <f t="shared" si="15"/>
        <v/>
      </c>
      <c r="D167" s="50"/>
      <c r="E167" s="262"/>
      <c r="F167" s="263"/>
      <c r="G167" s="44"/>
    </row>
    <row r="168" spans="1:7" s="45" customFormat="1" ht="15" thickBot="1" x14ac:dyDescent="0.35">
      <c r="A168" s="144" t="s">
        <v>25</v>
      </c>
      <c r="B168" s="75">
        <f>SUM(B160:B167)</f>
        <v>38</v>
      </c>
      <c r="C168" s="144" t="str">
        <f xml:space="preserve"> setValueToTime(B168)</f>
        <v>3h10min</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2</v>
      </c>
      <c r="C170" s="146"/>
      <c r="D170" s="139" t="s">
        <v>15</v>
      </c>
      <c r="E170" s="140" t="s">
        <v>42</v>
      </c>
      <c r="F170" s="141" t="s">
        <v>44</v>
      </c>
      <c r="G170" s="39"/>
    </row>
    <row r="171" spans="1:7" s="40" customFormat="1" ht="30" customHeight="1" thickBot="1" x14ac:dyDescent="0.3">
      <c r="A171" s="70" t="s">
        <v>5</v>
      </c>
      <c r="B171" s="143" t="s">
        <v>37</v>
      </c>
      <c r="C171" s="142"/>
      <c r="D171" s="70" t="s">
        <v>13</v>
      </c>
      <c r="E171" s="266" t="s">
        <v>14</v>
      </c>
      <c r="F171" s="267"/>
      <c r="G171" s="39"/>
    </row>
    <row r="172" spans="1:7" s="45" customFormat="1" ht="40.5" x14ac:dyDescent="0.3">
      <c r="A172" s="41" t="s">
        <v>28</v>
      </c>
      <c r="B172" s="42">
        <v>31</v>
      </c>
      <c r="C172" s="134" t="str">
        <f xml:space="preserve"> IF(B172="","",setValueToTime(B172))</f>
        <v>2h35min</v>
      </c>
      <c r="D172" s="48" t="s">
        <v>59</v>
      </c>
      <c r="E172" s="258"/>
      <c r="F172" s="259"/>
      <c r="G172" s="44"/>
    </row>
    <row r="173" spans="1:7" s="45" customFormat="1" ht="27" x14ac:dyDescent="0.3">
      <c r="A173" s="46" t="s">
        <v>81</v>
      </c>
      <c r="B173" s="47">
        <v>3</v>
      </c>
      <c r="C173" s="135" t="str">
        <f t="shared" ref="C173:C179" si="16" xml:space="preserve"> IF(B173="","",setValueToTime(B173))</f>
        <v>0h15min</v>
      </c>
      <c r="D173" s="196" t="s">
        <v>141</v>
      </c>
      <c r="E173" s="270" t="s">
        <v>144</v>
      </c>
      <c r="F173" s="271"/>
      <c r="G173" s="44"/>
    </row>
    <row r="174" spans="1:7" s="45" customFormat="1" ht="27" x14ac:dyDescent="0.3">
      <c r="A174" s="46" t="s">
        <v>71</v>
      </c>
      <c r="B174" s="47">
        <v>1</v>
      </c>
      <c r="C174" s="135" t="str">
        <f t="shared" si="16"/>
        <v>0h5min</v>
      </c>
      <c r="D174" s="48" t="s">
        <v>80</v>
      </c>
      <c r="E174" s="260"/>
      <c r="F174" s="261"/>
      <c r="G174" s="44"/>
    </row>
    <row r="175" spans="1:7" s="45" customFormat="1" ht="27" x14ac:dyDescent="0.3">
      <c r="A175" s="46" t="s">
        <v>81</v>
      </c>
      <c r="B175" s="47">
        <v>3</v>
      </c>
      <c r="C175" s="135" t="str">
        <f t="shared" si="16"/>
        <v>0h15min</v>
      </c>
      <c r="D175" s="48" t="s">
        <v>87</v>
      </c>
      <c r="E175" s="260"/>
      <c r="F175" s="261"/>
      <c r="G175" s="44"/>
    </row>
    <row r="176" spans="1:7" s="45" customFormat="1" x14ac:dyDescent="0.3">
      <c r="A176" s="47"/>
      <c r="B176" s="47"/>
      <c r="C176" s="136" t="str">
        <f t="shared" si="16"/>
        <v/>
      </c>
      <c r="D176" s="48"/>
      <c r="E176" s="260"/>
      <c r="F176" s="261"/>
      <c r="G176" s="44"/>
    </row>
    <row r="177" spans="1:7" s="45" customFormat="1" x14ac:dyDescent="0.3">
      <c r="A177" s="47"/>
      <c r="B177" s="47"/>
      <c r="C177" s="136" t="str">
        <f t="shared" si="16"/>
        <v/>
      </c>
      <c r="D177" s="48"/>
      <c r="E177" s="260"/>
      <c r="F177" s="261"/>
      <c r="G177" s="44"/>
    </row>
    <row r="178" spans="1:7" s="45" customFormat="1" x14ac:dyDescent="0.3">
      <c r="A178" s="47"/>
      <c r="B178" s="47"/>
      <c r="C178" s="136" t="str">
        <f t="shared" si="16"/>
        <v/>
      </c>
      <c r="D178" s="48"/>
      <c r="E178" s="260"/>
      <c r="F178" s="261"/>
      <c r="G178" s="44"/>
    </row>
    <row r="179" spans="1:7" s="45" customFormat="1" ht="15" thickBot="1" x14ac:dyDescent="0.35">
      <c r="A179" s="49"/>
      <c r="B179" s="49"/>
      <c r="C179" s="137" t="str">
        <f t="shared" si="16"/>
        <v/>
      </c>
      <c r="D179" s="50"/>
      <c r="E179" s="262"/>
      <c r="F179" s="263"/>
      <c r="G179" s="44"/>
    </row>
    <row r="180" spans="1:7" s="45" customFormat="1" ht="15" thickBot="1" x14ac:dyDescent="0.35">
      <c r="A180" s="144" t="s">
        <v>25</v>
      </c>
      <c r="B180" s="75">
        <f>SUM(B172:B179)</f>
        <v>38</v>
      </c>
      <c r="C180" s="144" t="str">
        <f xml:space="preserve"> setValueToTime(B180)</f>
        <v>3h10min</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1</v>
      </c>
      <c r="C182" s="146"/>
      <c r="D182" s="139" t="s">
        <v>15</v>
      </c>
      <c r="E182" s="140" t="s">
        <v>42</v>
      </c>
      <c r="F182" s="141" t="s">
        <v>43</v>
      </c>
      <c r="G182" s="39"/>
    </row>
    <row r="183" spans="1:7" s="40" customFormat="1" ht="30" customHeight="1" thickBot="1" x14ac:dyDescent="0.3">
      <c r="A183" s="70" t="s">
        <v>5</v>
      </c>
      <c r="B183" s="143" t="s">
        <v>37</v>
      </c>
      <c r="C183" s="142"/>
      <c r="D183" s="70" t="s">
        <v>13</v>
      </c>
      <c r="E183" s="266" t="s">
        <v>14</v>
      </c>
      <c r="F183" s="267"/>
      <c r="G183" s="39"/>
    </row>
    <row r="184" spans="1:7" s="45" customFormat="1" ht="27.75" thickBot="1" x14ac:dyDescent="0.35">
      <c r="A184" s="41" t="s">
        <v>75</v>
      </c>
      <c r="B184" s="42">
        <v>6</v>
      </c>
      <c r="C184" s="134" t="str">
        <f xml:space="preserve"> IF(B184="","",setValueToTime(B184))</f>
        <v>0h30min</v>
      </c>
      <c r="D184" s="197" t="s">
        <v>140</v>
      </c>
      <c r="E184" s="258"/>
      <c r="F184" s="259"/>
      <c r="G184" s="44"/>
    </row>
    <row r="185" spans="1:7" s="45" customFormat="1" ht="40.5" x14ac:dyDescent="0.3">
      <c r="A185" s="41" t="s">
        <v>28</v>
      </c>
      <c r="B185" s="47">
        <v>42</v>
      </c>
      <c r="C185" s="135" t="str">
        <f t="shared" ref="C185:C191" si="17" xml:space="preserve"> IF(B185="","",setValueToTime(B185))</f>
        <v>3h30min</v>
      </c>
      <c r="D185" s="48" t="s">
        <v>59</v>
      </c>
      <c r="E185" s="260"/>
      <c r="F185" s="261"/>
      <c r="G185" s="44"/>
    </row>
    <row r="186" spans="1:7" s="45" customFormat="1" x14ac:dyDescent="0.3">
      <c r="A186" s="46"/>
      <c r="B186" s="47"/>
      <c r="C186" s="135" t="str">
        <f t="shared" si="17"/>
        <v/>
      </c>
      <c r="D186" s="48"/>
      <c r="E186" s="260"/>
      <c r="F186" s="261"/>
      <c r="G186" s="44"/>
    </row>
    <row r="187" spans="1:7" s="45" customFormat="1" x14ac:dyDescent="0.3">
      <c r="A187" s="46"/>
      <c r="B187" s="47"/>
      <c r="C187" s="135" t="str">
        <f t="shared" si="17"/>
        <v/>
      </c>
      <c r="D187" s="48"/>
      <c r="E187" s="260"/>
      <c r="F187" s="261"/>
      <c r="G187" s="44"/>
    </row>
    <row r="188" spans="1:7" s="45" customFormat="1" x14ac:dyDescent="0.3">
      <c r="A188" s="47"/>
      <c r="B188" s="47"/>
      <c r="C188" s="136" t="str">
        <f t="shared" si="17"/>
        <v/>
      </c>
      <c r="D188" s="48"/>
      <c r="E188" s="260"/>
      <c r="F188" s="261"/>
      <c r="G188" s="44"/>
    </row>
    <row r="189" spans="1:7" s="45" customFormat="1" x14ac:dyDescent="0.3">
      <c r="A189" s="47"/>
      <c r="B189" s="47"/>
      <c r="C189" s="136" t="str">
        <f t="shared" si="17"/>
        <v/>
      </c>
      <c r="D189" s="48"/>
      <c r="E189" s="260"/>
      <c r="F189" s="261"/>
      <c r="G189" s="44"/>
    </row>
    <row r="190" spans="1:7" s="45" customFormat="1" x14ac:dyDescent="0.3">
      <c r="A190" s="47"/>
      <c r="B190" s="47"/>
      <c r="C190" s="136" t="str">
        <f t="shared" si="17"/>
        <v/>
      </c>
      <c r="D190" s="48"/>
      <c r="E190" s="260"/>
      <c r="F190" s="261"/>
      <c r="G190" s="44"/>
    </row>
    <row r="191" spans="1:7" s="45" customFormat="1" ht="15" thickBot="1" x14ac:dyDescent="0.35">
      <c r="A191" s="49"/>
      <c r="B191" s="49"/>
      <c r="C191" s="137" t="str">
        <f t="shared" si="17"/>
        <v/>
      </c>
      <c r="D191" s="50"/>
      <c r="E191" s="262"/>
      <c r="F191" s="263"/>
      <c r="G191" s="44"/>
    </row>
    <row r="192" spans="1:7" s="45" customFormat="1" ht="15" thickBot="1" x14ac:dyDescent="0.35">
      <c r="A192" s="144" t="s">
        <v>25</v>
      </c>
      <c r="B192" s="75">
        <f>SUM(B184:B191)</f>
        <v>48</v>
      </c>
      <c r="C192" s="144" t="str">
        <f xml:space="preserve"> setValueToTime(B192)</f>
        <v>4h</v>
      </c>
      <c r="D192" s="108"/>
      <c r="E192" s="264"/>
      <c r="F192" s="265"/>
      <c r="G192" s="44"/>
    </row>
    <row r="193" spans="1:7" s="52" customFormat="1" x14ac:dyDescent="0.3">
      <c r="A193" s="69"/>
      <c r="B193" s="69"/>
      <c r="C193" s="69"/>
      <c r="D193" s="69"/>
      <c r="E193" s="69"/>
      <c r="F193" s="69"/>
      <c r="G193" s="51"/>
    </row>
  </sheetData>
  <sheetProtection formatRows="0" insertRows="0" insertHyperlinks="0" deleteRows="0" selectLockedCells="1"/>
  <mergeCells count="1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120:F120"/>
    <mergeCell ref="E111:F111"/>
    <mergeCell ref="E112:F112"/>
    <mergeCell ref="E113:F113"/>
    <mergeCell ref="E114:F114"/>
    <mergeCell ref="E115:F115"/>
    <mergeCell ref="E80:F80"/>
    <mergeCell ref="E81:F81"/>
    <mergeCell ref="E82:F82"/>
    <mergeCell ref="E83:F83"/>
    <mergeCell ref="E84:F84"/>
    <mergeCell ref="E96:F96"/>
    <mergeCell ref="E95:F95"/>
    <mergeCell ref="E166:F166"/>
    <mergeCell ref="E167:F167"/>
    <mergeCell ref="E168:F168"/>
    <mergeCell ref="E161:F161"/>
    <mergeCell ref="E162:F162"/>
    <mergeCell ref="E163:F163"/>
    <mergeCell ref="E164:F164"/>
    <mergeCell ref="E165:F165"/>
    <mergeCell ref="E190:F190"/>
    <mergeCell ref="E191:F191"/>
    <mergeCell ref="E192:F192"/>
    <mergeCell ref="E171:F171"/>
    <mergeCell ref="E172:F172"/>
    <mergeCell ref="E173:F173"/>
    <mergeCell ref="E174:F174"/>
    <mergeCell ref="E175:F175"/>
    <mergeCell ref="E176:F176"/>
    <mergeCell ref="E183:F183"/>
    <mergeCell ref="E184:F184"/>
    <mergeCell ref="E185:F185"/>
    <mergeCell ref="E186:F186"/>
    <mergeCell ref="E187:F187"/>
    <mergeCell ref="E188:F188"/>
    <mergeCell ref="E177:F177"/>
    <mergeCell ref="E178:F178"/>
    <mergeCell ref="E179:F179"/>
    <mergeCell ref="E180:F180"/>
    <mergeCell ref="E189:F189"/>
    <mergeCell ref="E156:F156"/>
    <mergeCell ref="E159:F159"/>
    <mergeCell ref="E160:F160"/>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99:F99"/>
    <mergeCell ref="E100:F100"/>
    <mergeCell ref="E101:F101"/>
    <mergeCell ref="E102:F102"/>
    <mergeCell ref="E103:F103"/>
    <mergeCell ref="E104:F104"/>
    <mergeCell ref="E105:F105"/>
    <mergeCell ref="E106:F106"/>
    <mergeCell ref="E107:F107"/>
    <mergeCell ref="E108:F108"/>
    <mergeCell ref="E123:F123"/>
    <mergeCell ref="E124:F124"/>
    <mergeCell ref="E125:F125"/>
    <mergeCell ref="E126:F126"/>
    <mergeCell ref="E127:F127"/>
    <mergeCell ref="E128:F128"/>
    <mergeCell ref="E129:F129"/>
    <mergeCell ref="E130:F130"/>
    <mergeCell ref="E131:F131"/>
    <mergeCell ref="E116:F116"/>
    <mergeCell ref="E117:F117"/>
    <mergeCell ref="E118:F118"/>
    <mergeCell ref="E119:F119"/>
    <mergeCell ref="E51:F51"/>
    <mergeCell ref="E52:F52"/>
    <mergeCell ref="E53:F53"/>
    <mergeCell ref="E54:F54"/>
    <mergeCell ref="E55:F55"/>
    <mergeCell ref="E56:F56"/>
    <mergeCell ref="E57:F57"/>
    <mergeCell ref="E58:F58"/>
    <mergeCell ref="E59:F59"/>
    <mergeCell ref="E60:F60"/>
    <mergeCell ref="E87:F87"/>
    <mergeCell ref="E88:F88"/>
    <mergeCell ref="E89:F89"/>
    <mergeCell ref="E90:F90"/>
    <mergeCell ref="E91:F91"/>
    <mergeCell ref="E92:F92"/>
    <mergeCell ref="E93:F93"/>
    <mergeCell ref="E94:F9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48:F48"/>
    <mergeCell ref="E39:F39"/>
    <mergeCell ref="E40:F40"/>
    <mergeCell ref="E41:F41"/>
    <mergeCell ref="E42:F42"/>
    <mergeCell ref="E43:F43"/>
    <mergeCell ref="E44:F44"/>
    <mergeCell ref="E45:F45"/>
    <mergeCell ref="E46:F46"/>
    <mergeCell ref="E47:F47"/>
    <mergeCell ref="E36:F36"/>
    <mergeCell ref="E27:F27"/>
    <mergeCell ref="E28:F28"/>
    <mergeCell ref="E29:F29"/>
    <mergeCell ref="E30:F30"/>
    <mergeCell ref="E31:F31"/>
    <mergeCell ref="E32:F32"/>
    <mergeCell ref="E33:F33"/>
    <mergeCell ref="E34:F34"/>
    <mergeCell ref="E35:F35"/>
  </mergeCells>
  <phoneticPr fontId="0" type="noConversion"/>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2 B180 B168 B156 B144 B132 B120 B108 B96 B84 B72 B60 B48 B36 B24 B12" xr:uid="{139DA4DE-34DF-4F96-9283-081148AECD9D}">
      <formula1>0</formula1>
      <formula2>60</formula2>
    </dataValidation>
    <dataValidation type="list" allowBlank="1" showInputMessage="1" showErrorMessage="1" sqref="A184:A191 A172:A179 A160:A167 A148:A155 A136:A143 A124:A131 A112:A119 A100:A107 A88:A95 A76:A83 A64:A71 A52:A59 A40:A47 A28:A35 A16:A23 A4:A11" xr:uid="{87747DD5-BFF6-4070-ADED-45A147A69BE9}">
      <formula1>ListeTaches</formula1>
    </dataValidation>
  </dataValidations>
  <hyperlinks>
    <hyperlink ref="E160:F160" r:id="rId1" display="2025-05-05-AdamKablouti-diagrammePlanificationInitiale.pdf" xr:uid="{EC18FEC9-BBD4-4E7A-9344-FF06BE05EBB3}"/>
    <hyperlink ref="E161:F161" r:id="rId2" display="2025-05-05-AdamKablouti-SequencePlanificationInitiale.pdf" xr:uid="{E77E5056-770E-4CAD-AB08-D99CBEAF81EA}"/>
    <hyperlink ref="E173:F173" r:id="rId3" display="https://github.com/KabloutiAdam/GestionEcurieF1-TPI" xr:uid="{5017DC8D-FF2D-42D2-859A-1ED534C0E810}"/>
    <hyperlink ref="E173" r:id="rId4" xr:uid="{456B1A91-7F47-4AA2-9D6D-D114B05866AA}"/>
    <hyperlink ref="E162:F162" r:id="rId5" display="..\Schemas\logigrammes\connexion.svg" xr:uid="{BF53BFF2-2A42-431C-8FE4-2D2297E74E32}"/>
    <hyperlink ref="E148:F148"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43"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2025-05-16T14:30:55Z</cp:lastPrinted>
  <dcterms:created xsi:type="dcterms:W3CDTF">1996-10-21T11:03:58Z</dcterms:created>
  <dcterms:modified xsi:type="dcterms:W3CDTF">2025-05-16T14:31:02Z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