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1D06E3EA-C8F6-4D07-870D-435A3029BDCB}"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B24" i="12"/>
  <c r="C23" i="12"/>
  <c r="C22" i="12"/>
  <c r="C21" i="12"/>
  <c r="C20" i="12"/>
  <c r="C19" i="12"/>
  <c r="B36" i="12"/>
  <c r="C35" i="12"/>
  <c r="C34" i="12"/>
  <c r="C33" i="12"/>
  <c r="C32" i="12"/>
  <c r="C31" i="12"/>
  <c r="B48" i="12"/>
  <c r="C47" i="12"/>
  <c r="C46" i="12"/>
  <c r="C45" i="12"/>
  <c r="C44" i="12"/>
  <c r="C43" i="12"/>
  <c r="B60" i="12"/>
  <c r="C59" i="12"/>
  <c r="C58" i="12"/>
  <c r="C57" i="12"/>
  <c r="C56" i="12"/>
  <c r="C55" i="12"/>
  <c r="B72" i="12"/>
  <c r="C71" i="12"/>
  <c r="C70" i="12"/>
  <c r="C69" i="12"/>
  <c r="C68" i="12"/>
  <c r="C67" i="12"/>
  <c r="C66" i="12"/>
  <c r="C65" i="12"/>
  <c r="C79" i="12"/>
  <c r="C80" i="12"/>
  <c r="B84" i="12"/>
  <c r="C83" i="12"/>
  <c r="C82" i="12"/>
  <c r="C81" i="12"/>
  <c r="B96" i="12"/>
  <c r="C95" i="12"/>
  <c r="C94" i="12"/>
  <c r="C93" i="12"/>
  <c r="C92" i="12"/>
  <c r="B108" i="12"/>
  <c r="C107" i="12"/>
  <c r="C106" i="12"/>
  <c r="C105" i="12"/>
  <c r="C104" i="12"/>
  <c r="B120" i="12"/>
  <c r="C119" i="12"/>
  <c r="C118" i="12"/>
  <c r="C117" i="12"/>
  <c r="C116" i="12"/>
  <c r="C115" i="12"/>
  <c r="B132" i="12"/>
  <c r="C131" i="12"/>
  <c r="C130" i="12"/>
  <c r="C129" i="12"/>
  <c r="C128" i="12"/>
  <c r="C127" i="12"/>
  <c r="C126" i="12"/>
  <c r="B144" i="12"/>
  <c r="C143" i="12"/>
  <c r="C142" i="12"/>
  <c r="C141" i="12"/>
  <c r="C140" i="12"/>
  <c r="B156" i="12"/>
  <c r="C155" i="12"/>
  <c r="C154" i="12"/>
  <c r="C153" i="12"/>
  <c r="C152" i="12"/>
  <c r="C151" i="12"/>
  <c r="C150" i="12"/>
  <c r="B168" i="12"/>
  <c r="C167" i="12"/>
  <c r="C166" i="12"/>
  <c r="B180" i="12"/>
  <c r="C179" i="12"/>
  <c r="C178" i="12"/>
  <c r="C177" i="12"/>
  <c r="B192" i="12"/>
  <c r="C191" i="12"/>
  <c r="C190" i="12"/>
  <c r="C189" i="12"/>
  <c r="C188" i="12"/>
  <c r="C187" i="12"/>
  <c r="B204" i="12"/>
  <c r="C203" i="12"/>
  <c r="C202" i="12"/>
  <c r="C201" i="12"/>
  <c r="C200" i="12"/>
  <c r="B216" i="12"/>
  <c r="C215" i="12"/>
  <c r="C214" i="12"/>
  <c r="C213" i="12"/>
  <c r="C212" i="12"/>
  <c r="C211" i="12"/>
  <c r="B228" i="12"/>
  <c r="C227" i="12"/>
  <c r="C226" i="12"/>
  <c r="C225" i="12"/>
  <c r="C224" i="12"/>
  <c r="B240" i="12"/>
  <c r="C239" i="12"/>
  <c r="C238" i="12"/>
  <c r="C237" i="12"/>
  <c r="C236" i="12"/>
  <c r="C235" i="12"/>
  <c r="C234"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E68" i="1"/>
  <c r="D15" i="1"/>
  <c r="D66" i="1"/>
  <c r="D64" i="1"/>
  <c r="D62" i="1"/>
  <c r="D60" i="1"/>
  <c r="D58" i="1"/>
  <c r="D56" i="1"/>
  <c r="D54" i="1"/>
  <c r="D52" i="1"/>
  <c r="D50" i="1"/>
  <c r="D48" i="1"/>
  <c r="D46" i="1"/>
  <c r="D44" i="1"/>
  <c r="D42" i="1"/>
  <c r="D40" i="1"/>
  <c r="D38" i="1"/>
  <c r="D36" i="1"/>
  <c r="D34" i="1"/>
  <c r="D32" i="1"/>
  <c r="D30" i="1"/>
  <c r="D28" i="1"/>
  <c r="D26" i="1"/>
  <c r="D24" i="1"/>
  <c r="D22" i="1"/>
  <c r="D20" i="1"/>
  <c r="D18" i="1"/>
  <c r="D16" i="1"/>
  <c r="E70" i="1"/>
  <c r="C8" i="12"/>
  <c r="C7" i="12"/>
  <c r="C6" i="12"/>
  <c r="C5" i="12"/>
  <c r="C4" i="12"/>
  <c r="C12" i="12"/>
  <c r="C18" i="12"/>
  <c r="C17" i="12"/>
  <c r="C16" i="12"/>
  <c r="C24" i="12"/>
  <c r="C132" i="12"/>
  <c r="C114" i="12"/>
  <c r="C216" i="12"/>
  <c r="C209" i="12"/>
  <c r="C103" i="12"/>
  <c r="C113" i="12"/>
  <c r="C101" i="12"/>
  <c r="C222" i="12"/>
  <c r="C176" i="12"/>
  <c r="C30" i="12"/>
  <c r="C233" i="12"/>
  <c r="C112" i="12"/>
  <c r="C199" i="12"/>
  <c r="C90" i="12"/>
  <c r="C91" i="12"/>
  <c r="C204" i="12"/>
  <c r="C174" i="12"/>
  <c r="C28" i="12"/>
  <c r="C96" i="12"/>
  <c r="C172" i="12"/>
  <c r="C221" i="12"/>
  <c r="C29" i="12"/>
  <c r="C53" i="12"/>
  <c r="C144" i="12"/>
  <c r="C240" i="12"/>
  <c r="C161" i="12"/>
  <c r="C41" i="12"/>
  <c r="C125" i="12"/>
  <c r="C175" i="12"/>
  <c r="C232" i="12"/>
  <c r="C137" i="12"/>
  <c r="C40" i="12"/>
  <c r="C136" i="12"/>
  <c r="C148" i="12"/>
  <c r="C197" i="12"/>
  <c r="C164" i="12"/>
  <c r="C48" i="12"/>
  <c r="C160" i="12"/>
  <c r="C60" i="12"/>
  <c r="C198" i="12"/>
  <c r="C223" i="12"/>
  <c r="C168" i="12"/>
  <c r="C84" i="12"/>
  <c r="C156" i="12"/>
  <c r="C208" i="12"/>
  <c r="C139" i="12"/>
  <c r="C42" i="12"/>
  <c r="C228" i="12"/>
  <c r="C173" i="12"/>
  <c r="C102" i="12"/>
  <c r="C72" i="12"/>
  <c r="C210" i="12"/>
  <c r="C184" i="12"/>
  <c r="C186" i="12"/>
  <c r="C100" i="12"/>
  <c r="C108" i="12"/>
  <c r="C52" i="12"/>
  <c r="C120" i="12"/>
  <c r="C165" i="12"/>
  <c r="C192" i="12"/>
  <c r="C149" i="12"/>
  <c r="C185" i="12"/>
  <c r="C220" i="12"/>
  <c r="C138" i="12"/>
  <c r="C54" i="12"/>
  <c r="C124" i="12"/>
  <c r="C89" i="12"/>
  <c r="C163" i="12"/>
  <c r="C196" i="12"/>
  <c r="C162" i="12"/>
  <c r="C180" i="12"/>
  <c r="C88" i="12"/>
  <c r="C64" i="12"/>
  <c r="C36" i="12"/>
  <c r="AH9" i="1" l="1"/>
  <c r="G9" i="1"/>
</calcChain>
</file>

<file path=xl/sharedStrings.xml><?xml version="1.0" encoding="utf-8"?>
<sst xmlns="http://schemas.openxmlformats.org/spreadsheetml/2006/main" count="1155" uniqueCount="198">
  <si>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</si>
  <si>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</si>
  <si>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</si>
  <si>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</si>
  <si>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</si>
  <si>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</si>
  <si>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</si>
  <si>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</si>
  <si>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</si>
  <si>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</si>
  <si>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</si>
  <si>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</si>
  <si>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</si>
  <si>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</si>
  <si>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</si>
  <si>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</si>
  <si>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</si>
  <si>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</si>
  <si>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</si>
  <si>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</si>
  <si>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</si>
  <si>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</si>
  <si>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</si>
  <si>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</si>
  <si>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</si>
  <si>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</si>
  <si>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</si>
  <si>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</si>
  <si>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</si>
  <si>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</si>
  <si>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</si>
  <si>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</si>
  <si>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</si>
  <si>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</si>
  <si>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</si>
  <si>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</si>
  <si>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</si>
  <si>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</si>
  <si>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</si>
  <si>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</si>
  <si>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</si>
  <si>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</si>
  <si>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</si>
  <si>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</si>
  <si>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</si>
  <si>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</si>
  <si>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</si>
  <si>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</si>
  <si>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</si>
  <si>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</si>
  <si>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</si>
  <si>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</si>
  <si>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</si>
  <si>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</si>
  <si>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</si>
  <si>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</si>
  <si>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</si>
  <si>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</si>
  <si>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</si>
  <si>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</si>
  <si>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</si>
  <si>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</si>
  <si>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</si>
  <si>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</si>
  <si>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</si>
  <si>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</si>
  <si>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</si>
  <si>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</si>
  <si>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</si>
  <si>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</si>
  <si>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</si>
  <si>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</si>
  <si>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</si>
  <si>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</si>
  <si>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</si>
  <si>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</si>
  <si>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</si>
  <si>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</si>
  <si>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</si>
  <si>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</si>
  <si>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</si>
  <si>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</si>
  <si>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</si>
  <si>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</si>
  <si>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</si>
  <si>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</si>
  <si>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</si>
  <si>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</si>
  <si>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</si>
  <si>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</si>
  <si>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</si>
  <si>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</si>
  <si>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</si>
  <si>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</si>
  <si>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</si>
  <si>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</si>
  <si>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</si>
  <si>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</si>
  <si>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</si>
  <si>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</si>
  <si>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</si>
  <si>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</si>
  <si>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</si>
  <si>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</si>
  <si>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</si>
  <si>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</si>
  <si>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</si>
  <si>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</si>
  <si>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</si>
  <si>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</si>
  <si>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</si>
  <si>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</si>
  <si>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</si>
  <si>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</si>
  <si>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</si>
  <si>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</si>
  <si>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</si>
  <si>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</si>
  <si>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</si>
  <si>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</si>
  <si>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</si>
  <si>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</si>
  <si>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</si>
  <si>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</si>
  <si>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</si>
  <si>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</si>
  <si>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</si>
  <si>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</si>
  <si>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</si>
  <si>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</si>
  <si>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</si>
  <si>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</si>
  <si>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</si>
  <si>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</si>
  <si>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</si>
  <si>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</si>
  <si>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</si>
  <si>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</si>
  <si>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</si>
  <si>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</si>
  <si>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</si>
  <si>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</si>
  <si>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</si>
  <si>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</si>
  <si>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</si>
  <si>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</si>
  <si>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</si>
  <si>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</si>
  <si>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</si>
  <si>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</si>
  <si>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</si>
  <si>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</si>
  <si>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</si>
  <si>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</si>
  <si>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</si>
  <si>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</si>
  <si>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</si>
  <si>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</si>
  <si>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</si>
  <si>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</si>
  <si>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</si>
  <si>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</si>
  <si>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</si>
  <si>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</si>
  <si>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</si>
  <si>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</si>
  <si>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</si>
  <si>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</si>
  <si>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</si>
  <si>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</si>
  <si>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</si>
  <si>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</si>
  <si>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</si>
  <si>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</si>
  <si>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</si>
  <si>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</si>
  <si>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 xml:space="preserve">Remplir le journal de travail </t>
  </si>
  <si>
    <t xml:space="preserve">Ajout de route pour le page game. Protection de cette route pour q'un utilisateur y ait accès que si il a démarré une saison. Affichage de la liste des écuries. Possibilité à l'utilisateur de choisir 1 écurie. Il n'y a pas encore la vérification du nombre d'écurie sélectionnée. Affichage de la liste des pilotes. Possibilité à l'utilisateur de selectionner 2 pilotes. Système First in first out, donc si 2 pilotes déjà slectionnés alors le plus ancien est désélectionné. </t>
  </si>
  <si>
    <t>Lister la liste des tests pour les fonctionnalités de la page des pilotes et des écuries</t>
  </si>
  <si>
    <t>2h30min</t>
  </si>
  <si>
    <t>0h5min</t>
  </si>
  <si>
    <t>Gérer la création d'une saison. Mettre à jour l'état du jeu dans les cookies. Reprendre la liste des pilotes et remettre à zéro les points. Vérification si l'utilisateur prends le bon nombre d'écurie et le bon nombre de pilote. Création de la page des classements. Affichage des pilotes dans ces classement. Mise en évidence des pilotes sélectionnés par le joueur. Plusieurs problèmes liés à l'affichage car la page se chargeait avant que les données soit réceptionnées (problème async).</t>
  </si>
  <si>
    <t xml:space="preserve">Créer la fonction de simulation de course. Reprise des résultats de la course selon le rating de l'utilisateur. Mise à jour des points des piltotes dans la db. Mise à jour de l'affichage des classements. Gestion de l'ordre des courses. </t>
  </si>
  <si>
    <t>remplir journal de travail</t>
  </si>
  <si>
    <t>Pas mal de problème en plus que prévu à la fin de la journée. Le problème d'affichage avant que les variable soit définie est un peu problèmatique et rend la réalisation plus lente que prévue</t>
  </si>
  <si>
    <t>Gérer le classement des pilotes à la fin d'une course. Plusieurs problèmes liés au faites que les points ajoutés n'étaient pas les bons et que plusieurs tableaux similaires étaient entremélé (driverList, raceResult, pointToAdd…)</t>
  </si>
  <si>
    <t>Entretien avec l'Expert 2 Nemanja Pantic, Mise au point de l'avancée du projet, demande si blocage, question suite à la présentation. Démonstration de ce qui a été fait jusau'à présent</t>
  </si>
  <si>
    <t>Demande d'ajouter le fichier excel du jdt directement dans la livraison en plus</t>
  </si>
  <si>
    <t xml:space="preserve">Gérer l'affichage des classements. Gestion des tab pour switcher entre le classement des pilotes et des constructeurs. Modification du style du classement. Ajout des images du circuit actuelle et de celui de la prochaine course comme montré sur les maquettes. </t>
  </si>
  <si>
    <t>Ajout du système d'abandon lors de la simulation d'une course, modification du tableau des rsultats des courses en supprimant les pilotes ayant abandonné du tableau. Ajout de ces pilotes dans un autre tableau afin d'afficher les pilotes ayant abandonné</t>
  </si>
  <si>
    <t>Modifier affichage du classement, ajout du drapeau du pays du circuit. Ajout des pilotes ayant abandonné</t>
  </si>
  <si>
    <t>Page de fin de saison. Faire une page de fin de saison une fois que toutes les courses sont finie. Afficher le classement final pour les pilotes et les constructeurs. Le top 3 a un affichage différent avec des cards en grand</t>
  </si>
  <si>
    <t>Recherche sur l'utilisation de JWT. Beaucoup plus simple d'utilisation que prévu</t>
  </si>
  <si>
    <t>https://jwt.io/introduction</t>
  </si>
  <si>
    <t xml:space="preserve">Changement du système d'authentification précedemment implémenté pour mettre en place le sytème de JWT. La clé de chiffrement est stockée dans le fichier .env. Modification des pages qui reprennaient le rôle de l'utilisateur pour qu'elle puisse le prendre depuis le JWT. </t>
  </si>
  <si>
    <t>Rédaction du rapport de projet. Modification du chapitre sur le point technique de l'authentification pour expliquer le fonctionnement du JWT. Rédaction du chapitre sur l'ajout d'un pilote</t>
  </si>
  <si>
    <t>65h45min</t>
  </si>
  <si>
    <t>- 23h35min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</si>
</sst>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1.75</c:v>
              </c:pt>
              <c:pt idx="2">
                <c:v>7.0799999237060547</c:v>
              </c:pt>
              <c:pt idx="3">
                <c:v>2.6700000762939453</c:v>
              </c:pt>
              <c:pt idx="4">
                <c:v>3.0799999237060547</c:v>
              </c:pt>
              <c:pt idx="5">
                <c:v>1.5</c:v>
              </c:pt>
              <c:pt idx="6">
                <c:v>1.5800000429153442</c:v>
              </c:pt>
              <c:pt idx="7">
                <c:v>1.0800000429153442</c:v>
              </c:pt>
              <c:pt idx="8">
                <c:v>1.5800000429153442</c:v>
              </c:pt>
              <c:pt idx="9">
                <c:v>5.3299999237060547</c:v>
              </c:pt>
              <c:pt idx="10">
                <c:v>1.4199999570846558</c:v>
              </c:pt>
              <c:pt idx="11">
                <c:v>6.3299999237060547</c:v>
              </c:pt>
              <c:pt idx="12">
                <c:v>0</c:v>
              </c:pt>
              <c:pt idx="13">
                <c:v>11</c:v>
              </c:pt>
              <c:pt idx="14">
                <c:v>4.0799999237060547</c:v>
              </c:pt>
              <c:pt idx="15">
                <c:v>2.75</c:v>
              </c:pt>
              <c:pt idx="16">
                <c:v>0</c:v>
              </c:pt>
              <c:pt idx="17">
                <c:v>0</c:v>
              </c:pt>
              <c:pt idx="18">
                <c:v>1</c:v>
              </c:pt>
              <c:pt idx="19">
                <c:v>11.420000076293945</c:v>
              </c:pt>
              <c:pt idx="20">
                <c:v>0.33000001311302185</c:v>
              </c:pt>
              <c:pt idx="21">
                <c:v>0</c:v>
              </c:pt>
              <c:pt idx="22">
                <c:v>1.75</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github.com/KabloutiAdam/GestionEcurieF1-TPI" TargetMode="External"/><Relationship Id="rId7" Type="http://schemas.openxmlformats.org/officeDocument/2006/relationships/hyperlink" Target="https://jwt.io/introduction" TargetMode="External"/><Relationship Id="rId12" Type="http://schemas.openxmlformats.org/officeDocument/2006/relationships/image" Target="../media/image5.emf"/><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control" Target="../activeX/activeX4.xml"/><Relationship Id="rId5" Type="http://schemas.openxmlformats.org/officeDocument/2006/relationships/hyperlink" Target="..\Schemas\logigrammes\connexion.svg" TargetMode="External"/><Relationship Id="rId10" Type="http://schemas.openxmlformats.org/officeDocument/2006/relationships/vmlDrawing" Target="../drawings/vmlDrawing3.vml"/><Relationship Id="rId4" Type="http://schemas.openxmlformats.org/officeDocument/2006/relationships/hyperlink" Target="https://github.com/KabloutiAdam/GestionEcurieF1-TPI"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O43" sqref="O43"/>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196</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197</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33" t="s">
        <v>27</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9" t="str">
        <f>E70</f>
        <v>65h45min</v>
      </c>
      <c r="H9" s="239"/>
      <c r="I9" s="239"/>
      <c r="J9" s="239"/>
      <c r="K9" s="239"/>
      <c r="L9" s="239"/>
      <c r="M9" s="239"/>
      <c r="N9" s="239"/>
      <c r="O9" s="239"/>
      <c r="P9" s="239"/>
      <c r="Q9" s="239"/>
      <c r="R9" s="239"/>
      <c r="S9" s="239"/>
      <c r="T9" s="239"/>
      <c r="U9" s="239"/>
      <c r="V9" s="106"/>
      <c r="W9" s="238" t="s">
        <v>79</v>
      </c>
      <c r="X9" s="238"/>
      <c r="Y9" s="238"/>
      <c r="Z9" s="238"/>
      <c r="AA9" s="238"/>
      <c r="AB9" s="238"/>
      <c r="AC9" s="238"/>
      <c r="AD9" s="238"/>
      <c r="AE9" s="238"/>
      <c r="AF9" s="238"/>
      <c r="AG9" s="238"/>
      <c r="AH9" s="239" t="str">
        <f>E68</f>
        <v>89h20min</v>
      </c>
      <c r="AI9" s="239"/>
      <c r="AJ9" s="239"/>
      <c r="AK9" s="239"/>
      <c r="AL9" s="239"/>
      <c r="AM9" s="239"/>
      <c r="AN9" s="239"/>
      <c r="AO9" s="239"/>
      <c r="AP9" s="239"/>
      <c r="AQ9" s="239"/>
      <c r="AR9" s="239"/>
      <c r="AS9" s="239"/>
      <c r="AT9" s="239"/>
      <c r="AU9" s="239"/>
      <c r="AV9" s="239"/>
      <c r="AW9" s="239"/>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40"/>
      <c r="BO10" s="240"/>
      <c r="BP10" s="240"/>
      <c r="BQ10" s="240"/>
      <c r="BR10" s="240"/>
      <c r="BS10" s="240"/>
      <c r="BT10" s="240"/>
      <c r="BU10" s="240"/>
      <c r="BV10" s="240"/>
      <c r="BW10" s="240"/>
      <c r="BX10" s="240"/>
      <c r="BY10" s="240"/>
      <c r="BZ10" s="240"/>
      <c r="CA10" s="240"/>
      <c r="CB10" s="240"/>
      <c r="CC10" s="240"/>
      <c r="CD10" s="240"/>
      <c r="CE10" s="240"/>
      <c r="CF10" s="240"/>
      <c r="CG10" s="240"/>
      <c r="CH10" s="240"/>
      <c r="CI10" s="240"/>
      <c r="CJ10" s="240"/>
      <c r="CK10" s="240"/>
      <c r="CL10" s="240"/>
      <c r="CM10" s="240"/>
      <c r="CN10" s="240"/>
      <c r="CO10" s="240"/>
      <c r="CP10" s="240"/>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27"/>
      <c r="D11" s="227"/>
      <c r="E11" s="227"/>
      <c r="F11" s="230" t="s">
        <v>42</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42</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52" t="s">
        <v>57</v>
      </c>
      <c r="DW11" s="252"/>
      <c r="DX11" s="252"/>
      <c r="DY11" s="252"/>
      <c r="DZ11" s="252"/>
      <c r="EA11" s="252"/>
      <c r="EB11" s="252"/>
      <c r="EC11" s="252"/>
      <c r="ED11" s="252"/>
      <c r="EE11" s="252"/>
      <c r="EF11" s="252"/>
      <c r="EG11" s="252"/>
      <c r="EH11" s="252"/>
      <c r="EI11" s="252"/>
      <c r="EJ11" s="252"/>
      <c r="EK11" s="252"/>
      <c r="EL11" s="252"/>
      <c r="EM11" s="252"/>
      <c r="EN11" s="252"/>
      <c r="EO11" s="252"/>
      <c r="EP11" s="252"/>
      <c r="EQ11" s="252"/>
      <c r="ER11" s="252"/>
      <c r="ES11" s="252"/>
      <c r="ET11" s="252"/>
      <c r="EU11" s="252"/>
      <c r="EV11" s="252"/>
      <c r="EW11" s="252"/>
      <c r="EX11" s="252"/>
      <c r="EY11" s="252"/>
      <c r="EZ11" s="252"/>
      <c r="FA11" s="252"/>
      <c r="FB11" s="252"/>
      <c r="FC11" s="252"/>
      <c r="FD11" s="252"/>
      <c r="FE11" s="252"/>
      <c r="FF11" s="252"/>
      <c r="FG11" s="252"/>
      <c r="FH11" s="252"/>
      <c r="FI11" s="252"/>
      <c r="FJ11" s="252"/>
      <c r="FK11" s="252"/>
      <c r="FL11" s="252"/>
      <c r="FM11" s="252"/>
      <c r="FN11" s="252"/>
      <c r="FO11" s="252"/>
      <c r="FP11" s="252"/>
      <c r="FQ11" s="252"/>
      <c r="FR11" s="252"/>
      <c r="FS11" s="252"/>
      <c r="FT11" s="252"/>
      <c r="FU11" s="252"/>
      <c r="FV11" s="252"/>
      <c r="FW11" s="252"/>
      <c r="FX11" s="252"/>
      <c r="FY11" s="252"/>
      <c r="FZ11" s="252"/>
      <c r="GA11" s="252"/>
      <c r="GB11" s="252"/>
      <c r="GC11" s="252"/>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28"/>
      <c r="D12" s="228"/>
      <c r="E12" s="228"/>
      <c r="F12" s="229" t="s">
        <v>43</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44</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53" t="s">
        <v>43</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1" t="s">
        <v>7</v>
      </c>
      <c r="D13" s="160"/>
      <c r="E13" s="243" t="s">
        <v>36</v>
      </c>
      <c r="F13" s="249" t="s">
        <v>8</v>
      </c>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1"/>
      <c r="BN13" s="249" t="s">
        <v>24</v>
      </c>
      <c r="BO13" s="250"/>
      <c r="BP13" s="250"/>
      <c r="BQ13" s="250"/>
      <c r="BR13" s="250"/>
      <c r="BS13" s="250"/>
      <c r="BT13" s="250"/>
      <c r="BU13" s="250"/>
      <c r="BV13" s="250"/>
      <c r="BW13" s="250"/>
      <c r="BX13" s="250"/>
      <c r="BY13" s="250"/>
      <c r="BZ13" s="250"/>
      <c r="CA13" s="250"/>
      <c r="CB13" s="250"/>
      <c r="CC13" s="250"/>
      <c r="CD13" s="250"/>
      <c r="CE13" s="250"/>
      <c r="CF13" s="250"/>
      <c r="CG13" s="250"/>
      <c r="CH13" s="250"/>
      <c r="CI13" s="250"/>
      <c r="CJ13" s="250"/>
      <c r="CK13" s="250"/>
      <c r="CL13" s="250"/>
      <c r="CM13" s="250"/>
      <c r="CN13" s="250"/>
      <c r="CO13" s="250"/>
      <c r="CP13" s="250"/>
      <c r="CQ13" s="250"/>
      <c r="CR13" s="250"/>
      <c r="CS13" s="250"/>
      <c r="CT13" s="250"/>
      <c r="CU13" s="250"/>
      <c r="CV13" s="250"/>
      <c r="CW13" s="250"/>
      <c r="CX13" s="250"/>
      <c r="CY13" s="250"/>
      <c r="CZ13" s="250"/>
      <c r="DA13" s="250"/>
      <c r="DB13" s="250"/>
      <c r="DC13" s="250"/>
      <c r="DD13" s="250"/>
      <c r="DE13" s="250"/>
      <c r="DF13" s="250"/>
      <c r="DG13" s="250"/>
      <c r="DH13" s="250"/>
      <c r="DI13" s="250"/>
      <c r="DJ13" s="250"/>
      <c r="DK13" s="250"/>
      <c r="DL13" s="250"/>
      <c r="DM13" s="250"/>
      <c r="DN13" s="250"/>
      <c r="DO13" s="250"/>
      <c r="DP13" s="250"/>
      <c r="DQ13" s="250"/>
      <c r="DR13" s="250"/>
      <c r="DS13" s="250"/>
      <c r="DT13" s="250"/>
      <c r="DU13" s="251"/>
      <c r="DV13" s="249" t="s">
        <v>17</v>
      </c>
      <c r="DW13" s="250"/>
      <c r="DX13" s="250"/>
      <c r="DY13" s="250"/>
      <c r="DZ13" s="250"/>
      <c r="EA13" s="250"/>
      <c r="EB13" s="250"/>
      <c r="EC13" s="250"/>
      <c r="ED13" s="250"/>
      <c r="EE13" s="250"/>
      <c r="EF13" s="250"/>
      <c r="EG13" s="250"/>
      <c r="EH13" s="250"/>
      <c r="EI13" s="250"/>
      <c r="EJ13" s="250"/>
      <c r="EK13" s="250"/>
      <c r="EL13" s="250"/>
      <c r="EM13" s="250"/>
      <c r="EN13" s="250"/>
      <c r="EO13" s="250"/>
      <c r="EP13" s="250"/>
      <c r="EQ13" s="250"/>
      <c r="ER13" s="250"/>
      <c r="ES13" s="250"/>
      <c r="ET13" s="250"/>
      <c r="EU13" s="250"/>
      <c r="EV13" s="250"/>
      <c r="EW13" s="250"/>
      <c r="EX13" s="250"/>
      <c r="EY13" s="250"/>
      <c r="EZ13" s="250"/>
      <c r="FA13" s="250"/>
      <c r="FB13" s="250"/>
      <c r="FC13" s="250"/>
      <c r="FD13" s="250"/>
      <c r="FE13" s="250"/>
      <c r="FF13" s="250"/>
      <c r="FG13" s="250"/>
      <c r="FH13" s="250"/>
      <c r="FI13" s="250"/>
      <c r="FJ13" s="250"/>
      <c r="FK13" s="250"/>
      <c r="FL13" s="250"/>
      <c r="FM13" s="250"/>
      <c r="FN13" s="250"/>
      <c r="FO13" s="250"/>
      <c r="FP13" s="250"/>
      <c r="FQ13" s="250"/>
      <c r="FR13" s="250"/>
      <c r="FS13" s="250"/>
      <c r="FT13" s="250"/>
      <c r="FU13" s="250"/>
      <c r="FV13" s="250"/>
      <c r="FW13" s="250"/>
      <c r="FX13" s="250"/>
      <c r="FY13" s="250"/>
      <c r="FZ13" s="250"/>
      <c r="GA13" s="250"/>
      <c r="GB13" s="250"/>
      <c r="GC13" s="251"/>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2"/>
      <c r="D14" s="161"/>
      <c r="E14" s="244"/>
      <c r="F14" s="162"/>
      <c r="G14" s="163"/>
      <c r="H14" s="163"/>
      <c r="I14" s="163"/>
      <c r="J14" s="231" t="s">
        <v>31</v>
      </c>
      <c r="K14" s="231"/>
      <c r="L14" s="231"/>
      <c r="M14" s="231"/>
      <c r="N14" s="163"/>
      <c r="O14" s="163"/>
      <c r="P14" s="232" t="s">
        <v>20</v>
      </c>
      <c r="Q14" s="232"/>
      <c r="R14" s="232"/>
      <c r="S14" s="232"/>
      <c r="T14" s="164"/>
      <c r="U14" s="164"/>
      <c r="V14" s="231" t="s">
        <v>32</v>
      </c>
      <c r="W14" s="231"/>
      <c r="X14" s="231"/>
      <c r="Y14" s="231"/>
      <c r="Z14" s="163"/>
      <c r="AA14" s="163"/>
      <c r="AB14" s="232" t="s">
        <v>21</v>
      </c>
      <c r="AC14" s="232"/>
      <c r="AD14" s="232"/>
      <c r="AE14" s="232"/>
      <c r="AF14" s="164"/>
      <c r="AG14" s="164"/>
      <c r="AH14" s="231" t="s">
        <v>33</v>
      </c>
      <c r="AI14" s="231"/>
      <c r="AJ14" s="231"/>
      <c r="AK14" s="231"/>
      <c r="AL14" s="163"/>
      <c r="AM14" s="163"/>
      <c r="AN14" s="232" t="s">
        <v>22</v>
      </c>
      <c r="AO14" s="232"/>
      <c r="AP14" s="232"/>
      <c r="AQ14" s="232"/>
      <c r="AR14" s="164"/>
      <c r="AS14" s="164"/>
      <c r="AT14" s="231" t="s">
        <v>34</v>
      </c>
      <c r="AU14" s="231"/>
      <c r="AV14" s="231"/>
      <c r="AW14" s="231"/>
      <c r="AX14" s="163"/>
      <c r="AY14" s="163"/>
      <c r="AZ14" s="232" t="s">
        <v>23</v>
      </c>
      <c r="BA14" s="232"/>
      <c r="BB14" s="232"/>
      <c r="BC14" s="232"/>
      <c r="BD14" s="164"/>
      <c r="BE14" s="164"/>
      <c r="BF14" s="231" t="s">
        <v>35</v>
      </c>
      <c r="BG14" s="231"/>
      <c r="BH14" s="231"/>
      <c r="BI14" s="231"/>
      <c r="BJ14" s="163"/>
      <c r="BK14" s="163"/>
      <c r="BL14" s="163"/>
      <c r="BM14" s="165"/>
      <c r="BN14" s="162"/>
      <c r="BO14" s="163"/>
      <c r="BP14" s="163"/>
      <c r="BQ14" s="163"/>
      <c r="BR14" s="231" t="s">
        <v>31</v>
      </c>
      <c r="BS14" s="231"/>
      <c r="BT14" s="231"/>
      <c r="BU14" s="231"/>
      <c r="BV14" s="163"/>
      <c r="BW14" s="163"/>
      <c r="BX14" s="232" t="s">
        <v>20</v>
      </c>
      <c r="BY14" s="232"/>
      <c r="BZ14" s="232"/>
      <c r="CA14" s="232"/>
      <c r="CB14" s="164"/>
      <c r="CC14" s="164"/>
      <c r="CD14" s="231" t="s">
        <v>32</v>
      </c>
      <c r="CE14" s="231"/>
      <c r="CF14" s="231"/>
      <c r="CG14" s="231"/>
      <c r="CH14" s="163"/>
      <c r="CI14" s="163"/>
      <c r="CJ14" s="232" t="s">
        <v>21</v>
      </c>
      <c r="CK14" s="232"/>
      <c r="CL14" s="232"/>
      <c r="CM14" s="232"/>
      <c r="CN14" s="164"/>
      <c r="CO14" s="164"/>
      <c r="CP14" s="231" t="s">
        <v>33</v>
      </c>
      <c r="CQ14" s="231"/>
      <c r="CR14" s="231"/>
      <c r="CS14" s="231"/>
      <c r="CT14" s="163"/>
      <c r="CU14" s="163"/>
      <c r="CV14" s="232" t="s">
        <v>22</v>
      </c>
      <c r="CW14" s="232"/>
      <c r="CX14" s="232"/>
      <c r="CY14" s="232"/>
      <c r="CZ14" s="164"/>
      <c r="DA14" s="164"/>
      <c r="DB14" s="231" t="s">
        <v>34</v>
      </c>
      <c r="DC14" s="231"/>
      <c r="DD14" s="231"/>
      <c r="DE14" s="231"/>
      <c r="DF14" s="163"/>
      <c r="DG14" s="163"/>
      <c r="DH14" s="232" t="s">
        <v>23</v>
      </c>
      <c r="DI14" s="232"/>
      <c r="DJ14" s="232"/>
      <c r="DK14" s="232"/>
      <c r="DL14" s="164"/>
      <c r="DM14" s="164"/>
      <c r="DN14" s="231" t="s">
        <v>35</v>
      </c>
      <c r="DO14" s="231"/>
      <c r="DP14" s="231"/>
      <c r="DQ14" s="231"/>
      <c r="DR14" s="163"/>
      <c r="DS14" s="163"/>
      <c r="DT14" s="163"/>
      <c r="DU14" s="165"/>
      <c r="DV14" s="162"/>
      <c r="DW14" s="163"/>
      <c r="DX14" s="163"/>
      <c r="DY14" s="163"/>
      <c r="DZ14" s="231" t="s">
        <v>31</v>
      </c>
      <c r="EA14" s="231"/>
      <c r="EB14" s="231"/>
      <c r="EC14" s="231"/>
      <c r="ED14" s="163"/>
      <c r="EE14" s="163"/>
      <c r="EF14" s="232" t="s">
        <v>20</v>
      </c>
      <c r="EG14" s="232"/>
      <c r="EH14" s="232"/>
      <c r="EI14" s="232"/>
      <c r="EJ14" s="164"/>
      <c r="EK14" s="164"/>
      <c r="EL14" s="231" t="s">
        <v>32</v>
      </c>
      <c r="EM14" s="231"/>
      <c r="EN14" s="231"/>
      <c r="EO14" s="231"/>
      <c r="EP14" s="163"/>
      <c r="EQ14" s="163"/>
      <c r="ER14" s="232" t="s">
        <v>21</v>
      </c>
      <c r="ES14" s="232"/>
      <c r="ET14" s="232"/>
      <c r="EU14" s="232"/>
      <c r="EV14" s="164"/>
      <c r="EW14" s="164"/>
      <c r="EX14" s="231" t="s">
        <v>33</v>
      </c>
      <c r="EY14" s="231"/>
      <c r="EZ14" s="231"/>
      <c r="FA14" s="231"/>
      <c r="FB14" s="163"/>
      <c r="FC14" s="163"/>
      <c r="FD14" s="232" t="s">
        <v>22</v>
      </c>
      <c r="FE14" s="232"/>
      <c r="FF14" s="232"/>
      <c r="FG14" s="232"/>
      <c r="FH14" s="164"/>
      <c r="FI14" s="164"/>
      <c r="FJ14" s="231" t="s">
        <v>34</v>
      </c>
      <c r="FK14" s="231"/>
      <c r="FL14" s="231"/>
      <c r="FM14" s="231"/>
      <c r="FN14" s="163"/>
      <c r="FO14" s="163"/>
      <c r="FP14" s="232" t="s">
        <v>23</v>
      </c>
      <c r="FQ14" s="232"/>
      <c r="FR14" s="232"/>
      <c r="FS14" s="232"/>
      <c r="FT14" s="164"/>
      <c r="FU14" s="164"/>
      <c r="FV14" s="231" t="s">
        <v>35</v>
      </c>
      <c r="FW14" s="231"/>
      <c r="FX14" s="231"/>
      <c r="FY14" s="231"/>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5"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6"/>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5"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6"/>
      <c r="D18" s="206" t="str">
        <f t="shared" si="0"/>
        <v>1h45min</v>
      </c>
      <c r="E18" s="168">
        <v>21</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204"/>
      <c r="AKZ18" s="204"/>
      <c r="ALA18" s="207"/>
      <c r="ALB18" s="204"/>
      <c r="ALC18" s="204"/>
      <c r="ALD18" s="204"/>
      <c r="ALE18" s="204"/>
      <c r="ALF18" s="204"/>
      <c r="ALG18" s="202"/>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5"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6"/>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5"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7"/>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5"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7"/>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5"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7"/>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5"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7"/>
      <c r="D28" s="206" t="str">
        <f t="shared" si="0"/>
        <v>1h35min</v>
      </c>
      <c r="E28" s="170">
        <v>19</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212"/>
      <c r="ADG28" s="211"/>
      <c r="ADH28" s="211"/>
      <c r="ADI28" s="211"/>
      <c r="ADJ28" s="204"/>
      <c r="ADK28" s="205"/>
      <c r="ADL28" s="20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5"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7"/>
      <c r="D30" s="206" t="str">
        <f t="shared" si="0"/>
        <v>1h5min</v>
      </c>
      <c r="E30" s="168">
        <v>13</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5"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7"/>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5"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7"/>
      <c r="D34" s="206" t="str">
        <f t="shared" si="0"/>
        <v>5h20min</v>
      </c>
      <c r="E34" s="168">
        <v>64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199"/>
      <c r="ARG34" s="200"/>
      <c r="ARH34" s="199"/>
      <c r="ARI34" s="199"/>
      <c r="ARJ34" s="199"/>
      <c r="ARK34" s="199"/>
      <c r="ARL34" s="199"/>
      <c r="ARM34" s="201"/>
      <c r="ARN34" s="199"/>
      <c r="ARO34" s="199"/>
      <c r="ARP34" s="199"/>
      <c r="ARQ34" s="199"/>
      <c r="ARR34" s="199"/>
      <c r="ARS34" s="210"/>
      <c r="ART34" s="199"/>
      <c r="ARU34" s="199"/>
      <c r="ARV34" s="199"/>
      <c r="ARW34" s="199"/>
      <c r="ARX34" s="199"/>
      <c r="ARY34" s="20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5"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7"/>
      <c r="D36" s="130" t="str">
        <f t="shared" si="0"/>
        <v>1h25min</v>
      </c>
      <c r="E36" s="170">
        <v>17</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4"/>
      <c r="ZJ36" s="204"/>
      <c r="ZK36" s="204"/>
      <c r="ZL36" s="204"/>
      <c r="ZM36" s="207"/>
      <c r="ZN36" s="204"/>
      <c r="ZO36" s="204"/>
      <c r="ZP36" s="204"/>
      <c r="ZQ36" s="204"/>
      <c r="ZR36" s="204"/>
      <c r="ZS36" s="202"/>
      <c r="ZT36" s="57"/>
      <c r="ZU36" s="57"/>
      <c r="ZV36" s="57"/>
      <c r="ZW36" s="57"/>
      <c r="ZX36" s="34"/>
      <c r="ZY36" s="123"/>
      <c r="ZZ36" s="34"/>
      <c r="AAA36" s="34"/>
      <c r="AAB36" s="34"/>
      <c r="AAC36" s="34"/>
      <c r="AAD36" s="34"/>
      <c r="AAE36" s="67"/>
      <c r="AAF36" s="204"/>
      <c r="AAG36" s="204"/>
      <c r="AAH36" s="204"/>
      <c r="AAI36" s="204"/>
      <c r="AAJ36" s="204"/>
      <c r="AAK36" s="207"/>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5"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7"/>
      <c r="D38" s="206" t="str">
        <f t="shared" si="0"/>
        <v>6h20min</v>
      </c>
      <c r="E38" s="168">
        <v>76</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9"/>
      <c r="ZU38" s="209"/>
      <c r="ZV38" s="209"/>
      <c r="ZW38" s="209"/>
      <c r="ZX38" s="199"/>
      <c r="ZY38" s="201"/>
      <c r="ZZ38" s="199"/>
      <c r="AAA38" s="199"/>
      <c r="AAB38" s="199"/>
      <c r="AAC38" s="199"/>
      <c r="AAD38" s="199"/>
      <c r="AAE38" s="210"/>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5"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7"/>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5"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6"/>
      <c r="D42" s="206" t="str">
        <f t="shared" si="0"/>
        <v>11h</v>
      </c>
      <c r="E42" s="168">
        <v>132</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204"/>
      <c r="ADN42" s="204"/>
      <c r="ADO42" s="204"/>
      <c r="ADP42" s="204"/>
      <c r="ADQ42" s="207"/>
      <c r="ADR42" s="204"/>
      <c r="ADS42" s="204"/>
      <c r="ADT42" s="204"/>
      <c r="ADU42" s="204"/>
      <c r="ADV42" s="204"/>
      <c r="ADW42" s="202"/>
      <c r="ADX42" s="204"/>
      <c r="ADY42" s="204"/>
      <c r="ADZ42" s="204"/>
      <c r="AEA42" s="204"/>
      <c r="AEB42" s="204"/>
      <c r="AEC42" s="207"/>
      <c r="AED42" s="204"/>
      <c r="AEE42" s="204"/>
      <c r="AEF42" s="204"/>
      <c r="AEG42" s="204"/>
      <c r="AEH42" s="204"/>
      <c r="AEI42" s="202"/>
      <c r="AEJ42" s="211"/>
      <c r="AEK42" s="211"/>
      <c r="AEL42" s="211"/>
      <c r="AEM42" s="211"/>
      <c r="AEN42" s="204"/>
      <c r="AEO42" s="207"/>
      <c r="AEP42" s="20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212"/>
      <c r="AFO42" s="211"/>
      <c r="AFP42" s="211"/>
      <c r="AFQ42" s="211"/>
      <c r="AFR42" s="204"/>
      <c r="AFS42" s="205"/>
      <c r="AFT42" s="204"/>
      <c r="AFU42" s="204"/>
      <c r="AFV42" s="204"/>
      <c r="AFW42" s="204"/>
      <c r="AFX42" s="204"/>
      <c r="AFY42" s="207"/>
      <c r="AFZ42" s="204"/>
      <c r="AGA42" s="204"/>
      <c r="AGB42" s="204"/>
      <c r="AGC42" s="204"/>
      <c r="AGD42" s="204"/>
      <c r="AGE42" s="202"/>
      <c r="AGF42" s="204"/>
      <c r="AGG42" s="204"/>
      <c r="AGH42" s="204"/>
      <c r="AGI42" s="204"/>
      <c r="AGJ42" s="204"/>
      <c r="AGK42" s="207"/>
      <c r="AGL42" s="204"/>
      <c r="AGM42" s="204"/>
      <c r="AGN42" s="204"/>
      <c r="AGO42" s="204"/>
      <c r="AGP42" s="204"/>
      <c r="AGQ42" s="202"/>
      <c r="AGR42" s="211"/>
      <c r="AGS42" s="211"/>
      <c r="AGT42" s="211"/>
      <c r="AGU42" s="211"/>
      <c r="AGV42" s="204"/>
      <c r="AGW42" s="207"/>
      <c r="AGX42" s="204"/>
      <c r="AGY42" s="204"/>
      <c r="AGZ42" s="204"/>
      <c r="AHA42" s="204"/>
      <c r="AHB42" s="204"/>
      <c r="AHC42" s="202"/>
      <c r="AHD42" s="204"/>
      <c r="AHE42" s="204"/>
      <c r="AHF42" s="204"/>
      <c r="AHG42" s="204"/>
      <c r="AHH42" s="204"/>
      <c r="AHI42" s="207"/>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212"/>
      <c r="AKE42" s="211"/>
      <c r="AKF42" s="211"/>
      <c r="AKG42" s="211"/>
      <c r="AKH42" s="204"/>
      <c r="AKI42" s="205"/>
      <c r="AKJ42" s="204"/>
      <c r="AKK42" s="204"/>
      <c r="AKL42" s="204"/>
      <c r="AKM42" s="204"/>
      <c r="AKN42" s="204"/>
      <c r="AKO42" s="207"/>
      <c r="AKP42" s="204"/>
      <c r="AKQ42" s="204"/>
      <c r="AKR42" s="204"/>
      <c r="AKS42" s="204"/>
      <c r="AKT42" s="204"/>
      <c r="AKU42" s="202"/>
      <c r="AKV42" s="204"/>
      <c r="AKW42" s="204"/>
      <c r="AKX42" s="204"/>
      <c r="AKY42" s="34"/>
      <c r="AKZ42" s="34"/>
      <c r="ALA42" s="123"/>
      <c r="ALB42" s="34"/>
      <c r="ALC42" s="34"/>
      <c r="ALD42" s="34"/>
      <c r="ALE42" s="34"/>
      <c r="ALF42" s="34"/>
      <c r="ALG42" s="67"/>
      <c r="ALH42" s="211"/>
      <c r="ALI42" s="211"/>
      <c r="ALJ42" s="211"/>
      <c r="ALK42" s="211"/>
      <c r="ALL42" s="204"/>
      <c r="ALM42" s="207"/>
      <c r="ALN42" s="204"/>
      <c r="ALO42" s="20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212"/>
      <c r="AMM42" s="211"/>
      <c r="AMN42" s="211"/>
      <c r="AMO42" s="211"/>
      <c r="AMP42" s="204"/>
      <c r="AMQ42" s="205"/>
      <c r="AMR42" s="204"/>
      <c r="AMS42" s="204"/>
      <c r="AMT42" s="204"/>
      <c r="AMU42" s="204"/>
      <c r="AMV42" s="204"/>
      <c r="AMW42" s="207"/>
      <c r="AMX42" s="204"/>
      <c r="AMY42" s="204"/>
      <c r="AMZ42" s="204"/>
      <c r="ANA42" s="204"/>
      <c r="ANB42" s="204"/>
      <c r="ANC42" s="202"/>
      <c r="AND42" s="204"/>
      <c r="ANE42" s="204"/>
      <c r="ANF42" s="204"/>
      <c r="ANG42" s="204"/>
      <c r="ANH42" s="204"/>
      <c r="ANI42" s="207"/>
      <c r="ANJ42" s="20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5"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7"/>
      <c r="D44" s="206" t="str">
        <f t="shared" si="0"/>
        <v>4h5min</v>
      </c>
      <c r="E44" s="168">
        <v>49</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212"/>
      <c r="AHW44" s="211"/>
      <c r="AHX44" s="211"/>
      <c r="AHY44" s="211"/>
      <c r="AHZ44" s="204"/>
      <c r="AIA44" s="205"/>
      <c r="AIB44" s="204"/>
      <c r="AIC44" s="204"/>
      <c r="AID44" s="204"/>
      <c r="AIE44" s="204"/>
      <c r="AIF44" s="204"/>
      <c r="AIG44" s="207"/>
      <c r="AIH44" s="204"/>
      <c r="AII44" s="204"/>
      <c r="AIJ44" s="204"/>
      <c r="AIK44" s="204"/>
      <c r="AIL44" s="204"/>
      <c r="AIM44" s="202"/>
      <c r="AIN44" s="204"/>
      <c r="AIO44" s="204"/>
      <c r="AIP44" s="204"/>
      <c r="AIQ44" s="204"/>
      <c r="AIR44" s="204"/>
      <c r="AIS44" s="207"/>
      <c r="AIT44" s="204"/>
      <c r="AIU44" s="204"/>
      <c r="AIV44" s="204"/>
      <c r="AIW44" s="204"/>
      <c r="AIX44" s="204"/>
      <c r="AIY44" s="202"/>
      <c r="AIZ44" s="211"/>
      <c r="AJA44" s="211"/>
      <c r="AJB44" s="211"/>
      <c r="AJC44" s="211"/>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212"/>
      <c r="AOU44" s="211"/>
      <c r="AOV44" s="211"/>
      <c r="AOW44" s="211"/>
      <c r="AOX44" s="204"/>
      <c r="AOY44" s="205"/>
      <c r="AOZ44" s="204"/>
      <c r="APA44" s="204"/>
      <c r="APB44" s="204"/>
      <c r="APC44" s="204"/>
      <c r="APD44" s="204"/>
      <c r="APE44" s="207"/>
      <c r="APF44" s="204"/>
      <c r="APG44" s="204"/>
      <c r="APH44" s="20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5"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7"/>
      <c r="D46" s="130" t="str">
        <f t="shared" si="0"/>
        <v>2h45min</v>
      </c>
      <c r="E46" s="168">
        <v>33</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199"/>
      <c r="APJ46" s="199"/>
      <c r="APK46" s="210"/>
      <c r="APL46" s="199"/>
      <c r="APM46" s="199"/>
      <c r="APN46" s="199"/>
      <c r="APO46" s="199"/>
      <c r="APP46" s="199"/>
      <c r="APQ46" s="201"/>
      <c r="APR46" s="199"/>
      <c r="APS46" s="199"/>
      <c r="APT46" s="199"/>
      <c r="APU46" s="199"/>
      <c r="APV46" s="199"/>
      <c r="APW46" s="210"/>
      <c r="APX46" s="209"/>
      <c r="APY46" s="209"/>
      <c r="APZ46" s="209"/>
      <c r="AQA46" s="209"/>
      <c r="AQB46" s="199"/>
      <c r="AQC46" s="201"/>
      <c r="AQD46" s="199"/>
      <c r="AQE46" s="199"/>
      <c r="AQF46" s="199"/>
      <c r="AQG46" s="199"/>
      <c r="AQH46" s="199"/>
      <c r="AQI46" s="210"/>
      <c r="AQJ46" s="199"/>
      <c r="AQK46" s="199"/>
      <c r="AQL46" s="199"/>
      <c r="AQM46" s="199"/>
      <c r="AQN46" s="199"/>
      <c r="AQO46" s="20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5"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6"/>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5"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6"/>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5"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7"/>
      <c r="D52" s="130" t="str">
        <f t="shared" si="0"/>
        <v>1h</v>
      </c>
      <c r="E52" s="170">
        <v>12</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20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20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204"/>
      <c r="AJE52" s="207"/>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204"/>
      <c r="ASK52" s="207"/>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5"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6"/>
      <c r="D54" s="206" t="str">
        <f t="shared" si="0"/>
        <v>11h25min</v>
      </c>
      <c r="E54" s="168">
        <v>137</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8"/>
      <c r="YQ54" s="209"/>
      <c r="YR54" s="209"/>
      <c r="YS54" s="209"/>
      <c r="YT54" s="199"/>
      <c r="YU54" s="200"/>
      <c r="YV54" s="199"/>
      <c r="YW54" s="199"/>
      <c r="YX54" s="199"/>
      <c r="YY54" s="199"/>
      <c r="YZ54" s="199"/>
      <c r="ZA54" s="201"/>
      <c r="ZB54" s="199"/>
      <c r="ZC54" s="199"/>
      <c r="ZD54" s="199"/>
      <c r="ZE54" s="199"/>
      <c r="ZF54" s="199"/>
      <c r="ZG54" s="210"/>
      <c r="ZH54" s="199"/>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8"/>
      <c r="AAY54" s="209"/>
      <c r="AAZ54" s="209"/>
      <c r="ABA54" s="209"/>
      <c r="ABB54" s="199"/>
      <c r="ABC54" s="200"/>
      <c r="ABD54" s="199"/>
      <c r="ABE54" s="199"/>
      <c r="ABF54" s="199"/>
      <c r="ABG54" s="199"/>
      <c r="ABH54" s="199"/>
      <c r="ABI54" s="201"/>
      <c r="ABJ54" s="199"/>
      <c r="ABK54" s="199"/>
      <c r="ABL54" s="199"/>
      <c r="ABM54" s="199"/>
      <c r="ABN54" s="199"/>
      <c r="ABO54" s="210"/>
      <c r="ABP54" s="199"/>
      <c r="ABQ54" s="199"/>
      <c r="ABR54" s="199"/>
      <c r="ABS54" s="199"/>
      <c r="ABT54" s="199"/>
      <c r="ABU54" s="201"/>
      <c r="ABV54" s="199"/>
      <c r="ABW54" s="199"/>
      <c r="ABX54" s="199"/>
      <c r="ABY54" s="199"/>
      <c r="ABZ54" s="199"/>
      <c r="ACA54" s="210"/>
      <c r="ACB54" s="209"/>
      <c r="ACC54" s="209"/>
      <c r="ACD54" s="209"/>
      <c r="ACE54" s="20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199"/>
      <c r="ASA54" s="199"/>
      <c r="ASB54" s="199"/>
      <c r="ASC54" s="199"/>
      <c r="ASD54" s="199"/>
      <c r="ASE54" s="210"/>
      <c r="ASF54" s="209"/>
      <c r="ASG54" s="209"/>
      <c r="ASH54" s="209"/>
      <c r="ASI54" s="20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5"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6"/>
      <c r="D56" s="130" t="str">
        <f t="shared" si="0"/>
        <v>0h20min</v>
      </c>
      <c r="E56" s="170">
        <v>4</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212"/>
      <c r="ARC56" s="211"/>
      <c r="ARD56" s="211"/>
      <c r="ARE56" s="211"/>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5"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7"/>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5"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6"/>
      <c r="D60" s="206" t="str">
        <f t="shared" si="0"/>
        <v>1h45min</v>
      </c>
      <c r="E60" s="168">
        <v>21</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207"/>
      <c r="ACH60" s="204"/>
      <c r="ACI60" s="20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204"/>
      <c r="AJG60" s="20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204"/>
      <c r="ASM60" s="20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5"/>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6"/>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5"/>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6"/>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5"/>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7"/>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45" t="s">
        <v>9</v>
      </c>
      <c r="D67" s="246"/>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47"/>
      <c r="D68" s="248"/>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23" t="s">
        <v>10</v>
      </c>
      <c r="D69" s="224"/>
      <c r="E69" s="180">
        <f>SUM(E16,E18,E20,E22,E24,E26,E28,E30,E32,E34,E36,E38,E40,E42,E44,E46,E48,E50,E52,E54,E56,E58,E60,E62,E64,E66)</f>
        <v>789</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25"/>
      <c r="D70" s="226"/>
      <c r="E70" s="183" t="str">
        <f xml:space="preserve"> setValueToTime(E69)</f>
        <v>65h45min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D339" sqref="D339"/>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6" t="s">
        <v>14</v>
      </c>
      <c r="F3" s="257"/>
      <c r="G3" s="39"/>
    </row>
    <row r="4" spans="1:7" s="45" customFormat="1" ht="27" x14ac:dyDescent="0.3">
      <c r="A4" s="41" t="s">
        <v>72</v>
      </c>
      <c r="B4" s="42">
        <v>32</v>
      </c>
      <c r="C4" s="134" t="str">
        <f xml:space="preserve"> IF(B4="","",setValueToTime(B4))</f>
        <v>2h40min</v>
      </c>
      <c r="D4" s="43" t="s">
        <v>137</v>
      </c>
      <c r="E4" s="258"/>
      <c r="F4" s="259"/>
      <c r="G4" s="44"/>
    </row>
    <row r="5" spans="1:7" s="45" customFormat="1" x14ac:dyDescent="0.3">
      <c r="A5" s="46" t="s">
        <v>81</v>
      </c>
      <c r="B5" s="47">
        <v>6</v>
      </c>
      <c r="C5" s="135" t="str">
        <f t="shared" ref="C5:C11" si="0" xml:space="preserve"> IF(B5="","",setValueToTime(B5))</f>
        <v>0h30min</v>
      </c>
      <c r="D5" s="48" t="s">
        <v>138</v>
      </c>
      <c r="E5" s="260"/>
      <c r="F5" s="261"/>
      <c r="G5" s="44"/>
    </row>
    <row r="6" spans="1:7" s="45" customFormat="1" x14ac:dyDescent="0.3">
      <c r="A6" s="46"/>
      <c r="B6" s="47"/>
      <c r="C6" s="135" t="str">
        <f t="shared" si="0"/>
        <v/>
      </c>
      <c r="D6" s="48"/>
      <c r="E6" s="260"/>
      <c r="F6" s="261"/>
      <c r="G6" s="44"/>
    </row>
    <row r="7" spans="1:7" s="45" customFormat="1" x14ac:dyDescent="0.3">
      <c r="A7" s="46"/>
      <c r="B7" s="47"/>
      <c r="C7" s="135"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54"/>
      <c r="F12" s="255"/>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6" t="s">
        <v>14</v>
      </c>
      <c r="F15" s="257"/>
      <c r="G15" s="39"/>
    </row>
    <row r="16" spans="1:7" s="45" customFormat="1" ht="27" x14ac:dyDescent="0.3">
      <c r="A16" s="46" t="s">
        <v>70</v>
      </c>
      <c r="B16" s="47">
        <v>23</v>
      </c>
      <c r="C16" s="135" t="str">
        <f t="shared" ref="C16" si="1" xml:space="preserve"> IF(B16="","",setValueToTime(B16))</f>
        <v>1h55min</v>
      </c>
      <c r="D16" s="48" t="s">
        <v>135</v>
      </c>
      <c r="E16" s="258"/>
      <c r="F16" s="259"/>
      <c r="G16" s="44"/>
    </row>
    <row r="17" spans="1:7" s="45" customFormat="1" ht="27" x14ac:dyDescent="0.3">
      <c r="A17" s="46" t="s">
        <v>72</v>
      </c>
      <c r="B17" s="47">
        <v>11</v>
      </c>
      <c r="C17" s="135" t="str">
        <f t="shared" ref="C17:C23" si="2" xml:space="preserve"> IF(B17="","",setValueToTime(B17))</f>
        <v>0h55min</v>
      </c>
      <c r="D17" s="48" t="s">
        <v>136</v>
      </c>
      <c r="E17" s="260"/>
      <c r="F17" s="261"/>
      <c r="G17" s="44"/>
    </row>
    <row r="18" spans="1:7" s="45" customFormat="1" ht="27" x14ac:dyDescent="0.3">
      <c r="A18" s="46" t="s">
        <v>71</v>
      </c>
      <c r="B18" s="47">
        <v>1</v>
      </c>
      <c r="C18" s="135" t="str">
        <f t="shared" si="2"/>
        <v>0h5min</v>
      </c>
      <c r="D18" s="48" t="s">
        <v>80</v>
      </c>
      <c r="E18" s="260"/>
      <c r="F18" s="261"/>
      <c r="G18" s="44"/>
    </row>
    <row r="19" spans="1:7" s="45" customFormat="1" x14ac:dyDescent="0.3">
      <c r="A19" s="46" t="s">
        <v>81</v>
      </c>
      <c r="B19" s="47">
        <v>3</v>
      </c>
      <c r="C19" s="135" t="str">
        <f t="shared" si="2"/>
        <v>0h15min</v>
      </c>
      <c r="D19" s="48" t="s">
        <v>87</v>
      </c>
      <c r="E19" s="260"/>
      <c r="F19" s="261"/>
      <c r="G19" s="44"/>
    </row>
    <row r="20" spans="1:7" s="45" customFormat="1" x14ac:dyDescent="0.3">
      <c r="A20" s="47"/>
      <c r="B20" s="47"/>
      <c r="C20" s="136" t="str">
        <f t="shared" si="2"/>
        <v/>
      </c>
      <c r="D20" s="48"/>
      <c r="E20" s="260"/>
      <c r="F20" s="261"/>
      <c r="G20" s="44"/>
    </row>
    <row r="21" spans="1:7" s="45" customFormat="1" x14ac:dyDescent="0.3">
      <c r="A21" s="47"/>
      <c r="B21" s="47"/>
      <c r="C21" s="136" t="str">
        <f t="shared" si="2"/>
        <v/>
      </c>
      <c r="D21" s="48"/>
      <c r="E21" s="260"/>
      <c r="F21" s="261"/>
      <c r="G21" s="44"/>
    </row>
    <row r="22" spans="1:7" s="45" customFormat="1" x14ac:dyDescent="0.3">
      <c r="A22" s="47"/>
      <c r="B22" s="47"/>
      <c r="C22" s="136" t="str">
        <f t="shared" si="2"/>
        <v/>
      </c>
      <c r="D22" s="48"/>
      <c r="E22" s="260"/>
      <c r="F22" s="261"/>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54"/>
      <c r="F24" s="255"/>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6" t="s">
        <v>14</v>
      </c>
      <c r="F27" s="257"/>
      <c r="G27" s="39"/>
    </row>
    <row r="28" spans="1:7" s="45" customFormat="1" ht="27.75" thickBot="1" x14ac:dyDescent="0.35">
      <c r="A28" s="46" t="s">
        <v>91</v>
      </c>
      <c r="B28" s="47">
        <v>10</v>
      </c>
      <c r="C28" s="135" t="str">
        <f t="shared" ref="C28" si="3" xml:space="preserve"> IF(B28="","",setValueToTime(B28))</f>
        <v>0h50min</v>
      </c>
      <c r="D28" s="48" t="s">
        <v>133</v>
      </c>
      <c r="E28" s="258"/>
      <c r="F28" s="259"/>
      <c r="G28" s="44"/>
    </row>
    <row r="29" spans="1:7" s="45" customFormat="1" ht="27" x14ac:dyDescent="0.3">
      <c r="A29" s="46" t="s">
        <v>72</v>
      </c>
      <c r="B29" s="47">
        <v>15</v>
      </c>
      <c r="C29" s="135" t="str">
        <f t="shared" ref="C29:C35" si="4" xml:space="preserve"> IF(B29="","",setValueToTime(B29))</f>
        <v>1h15min</v>
      </c>
      <c r="D29" s="43" t="s">
        <v>134</v>
      </c>
      <c r="E29" s="260"/>
      <c r="F29" s="261"/>
      <c r="G29" s="44"/>
    </row>
    <row r="30" spans="1:7" s="45" customFormat="1" x14ac:dyDescent="0.3">
      <c r="A30" s="46" t="s">
        <v>68</v>
      </c>
      <c r="B30" s="47">
        <v>23</v>
      </c>
      <c r="C30" s="135" t="str">
        <f t="shared" si="4"/>
        <v>1h55min</v>
      </c>
      <c r="D30" s="48" t="s">
        <v>135</v>
      </c>
      <c r="E30" s="260"/>
      <c r="F30" s="261"/>
      <c r="G30" s="44"/>
    </row>
    <row r="31" spans="1:7" s="45" customFormat="1" x14ac:dyDescent="0.3">
      <c r="A31" s="46"/>
      <c r="B31" s="47"/>
      <c r="C31" s="135" t="str">
        <f t="shared" si="4"/>
        <v/>
      </c>
      <c r="D31" s="48"/>
      <c r="E31" s="260"/>
      <c r="F31" s="261"/>
      <c r="G31" s="44"/>
    </row>
    <row r="32" spans="1:7" s="45" customFormat="1" x14ac:dyDescent="0.3">
      <c r="A32" s="47"/>
      <c r="B32" s="47"/>
      <c r="C32" s="136" t="str">
        <f t="shared" si="4"/>
        <v/>
      </c>
      <c r="D32" s="48"/>
      <c r="E32" s="260"/>
      <c r="F32" s="261"/>
      <c r="G32" s="44"/>
    </row>
    <row r="33" spans="1:7" s="45" customFormat="1" x14ac:dyDescent="0.3">
      <c r="A33" s="47"/>
      <c r="B33" s="47"/>
      <c r="C33" s="136" t="str">
        <f t="shared" si="4"/>
        <v/>
      </c>
      <c r="D33" s="48"/>
      <c r="E33" s="260"/>
      <c r="F33" s="261"/>
      <c r="G33" s="44"/>
    </row>
    <row r="34" spans="1:7" s="45" customFormat="1" x14ac:dyDescent="0.3">
      <c r="A34" s="47"/>
      <c r="B34" s="47"/>
      <c r="C34" s="136" t="str">
        <f t="shared" si="4"/>
        <v/>
      </c>
      <c r="D34" s="48"/>
      <c r="E34" s="260"/>
      <c r="F34" s="261"/>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54"/>
      <c r="F36" s="255"/>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6" t="s">
        <v>14</v>
      </c>
      <c r="F39" s="257"/>
      <c r="G39" s="39"/>
    </row>
    <row r="40" spans="1:7" s="45" customFormat="1" ht="27" x14ac:dyDescent="0.3">
      <c r="A40" s="41" t="s">
        <v>72</v>
      </c>
      <c r="B40" s="42">
        <v>15</v>
      </c>
      <c r="C40" s="134" t="str">
        <f xml:space="preserve"> IF(B40="","",setValueToTime(B40))</f>
        <v>1h15min</v>
      </c>
      <c r="D40" s="43" t="s">
        <v>132</v>
      </c>
      <c r="E40" s="258"/>
      <c r="F40" s="259"/>
      <c r="G40" s="44"/>
    </row>
    <row r="41" spans="1:7" s="45" customFormat="1" ht="27" x14ac:dyDescent="0.3">
      <c r="A41" s="46" t="s">
        <v>91</v>
      </c>
      <c r="B41" s="47">
        <v>22</v>
      </c>
      <c r="C41" s="135" t="str">
        <f t="shared" ref="C41:C47" si="5" xml:space="preserve"> IF(B41="","",setValueToTime(B41))</f>
        <v>1h50min</v>
      </c>
      <c r="D41" s="48" t="s">
        <v>133</v>
      </c>
      <c r="E41" s="260"/>
      <c r="F41" s="261"/>
      <c r="G41" s="44"/>
    </row>
    <row r="42" spans="1:7" s="45" customFormat="1" ht="27" x14ac:dyDescent="0.3">
      <c r="A42" s="46" t="s">
        <v>71</v>
      </c>
      <c r="B42" s="47">
        <v>1</v>
      </c>
      <c r="C42" s="135" t="str">
        <f t="shared" si="5"/>
        <v>0h5min</v>
      </c>
      <c r="D42" s="48" t="s">
        <v>80</v>
      </c>
      <c r="E42" s="260"/>
      <c r="F42" s="261"/>
      <c r="G42" s="44"/>
    </row>
    <row r="43" spans="1:7" s="45" customFormat="1" x14ac:dyDescent="0.3">
      <c r="A43" s="46"/>
      <c r="B43" s="47"/>
      <c r="C43" s="135" t="str">
        <f t="shared" si="5"/>
        <v/>
      </c>
      <c r="D43" s="48"/>
      <c r="E43" s="260"/>
      <c r="F43" s="261"/>
      <c r="G43" s="44"/>
    </row>
    <row r="44" spans="1:7" s="45" customFormat="1" x14ac:dyDescent="0.3">
      <c r="A44" s="47"/>
      <c r="B44" s="47"/>
      <c r="C44" s="136" t="str">
        <f t="shared" si="5"/>
        <v/>
      </c>
      <c r="D44" s="48"/>
      <c r="E44" s="260"/>
      <c r="F44" s="261"/>
      <c r="G44" s="44"/>
    </row>
    <row r="45" spans="1:7" s="45" customFormat="1" x14ac:dyDescent="0.3">
      <c r="A45" s="47"/>
      <c r="B45" s="47"/>
      <c r="C45" s="136" t="str">
        <f t="shared" si="5"/>
        <v/>
      </c>
      <c r="D45" s="48"/>
      <c r="E45" s="260"/>
      <c r="F45" s="261"/>
      <c r="G45" s="44"/>
    </row>
    <row r="46" spans="1:7" s="45" customFormat="1" x14ac:dyDescent="0.3">
      <c r="A46" s="47"/>
      <c r="B46" s="47"/>
      <c r="C46" s="136" t="str">
        <f t="shared" si="5"/>
        <v/>
      </c>
      <c r="D46" s="48"/>
      <c r="E46" s="260"/>
      <c r="F46" s="261"/>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54"/>
      <c r="F48" s="255"/>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6" t="s">
        <v>14</v>
      </c>
      <c r="F51" s="257"/>
      <c r="G51" s="39"/>
    </row>
    <row r="52" spans="1:7" s="45" customFormat="1" ht="27" x14ac:dyDescent="0.3">
      <c r="A52" s="46" t="s">
        <v>67</v>
      </c>
      <c r="B52" s="47">
        <v>34</v>
      </c>
      <c r="C52" s="135" t="str">
        <f t="shared" ref="C52:C54" si="6" xml:space="preserve"> IF(B52="","",setValueToTime(B52))</f>
        <v>2h50min</v>
      </c>
      <c r="D52" s="48" t="s">
        <v>131</v>
      </c>
      <c r="E52" s="258"/>
      <c r="F52" s="259"/>
      <c r="G52" s="44"/>
    </row>
    <row r="53" spans="1:7" s="45" customFormat="1" ht="27" x14ac:dyDescent="0.3">
      <c r="A53" s="46" t="s">
        <v>71</v>
      </c>
      <c r="B53" s="47">
        <v>1</v>
      </c>
      <c r="C53" s="135" t="str">
        <f t="shared" si="6"/>
        <v>0h5min</v>
      </c>
      <c r="D53" s="48" t="s">
        <v>80</v>
      </c>
      <c r="E53" s="260"/>
      <c r="F53" s="261"/>
      <c r="G53" s="44"/>
    </row>
    <row r="54" spans="1:7" s="45" customFormat="1" x14ac:dyDescent="0.3">
      <c r="A54" s="46" t="s">
        <v>81</v>
      </c>
      <c r="B54" s="47">
        <v>3</v>
      </c>
      <c r="C54" s="135" t="str">
        <f t="shared" si="6"/>
        <v>0h15min</v>
      </c>
      <c r="D54" s="48" t="s">
        <v>87</v>
      </c>
      <c r="E54" s="260"/>
      <c r="F54" s="261"/>
      <c r="G54" s="44"/>
    </row>
    <row r="55" spans="1:7" s="45" customFormat="1" x14ac:dyDescent="0.3">
      <c r="A55" s="46"/>
      <c r="B55" s="47"/>
      <c r="C55" s="135" t="str">
        <f t="shared" ref="C55:C59" si="7" xml:space="preserve"> IF(B55="","",setValueToTime(B55))</f>
        <v/>
      </c>
      <c r="D55" s="48"/>
      <c r="E55" s="260"/>
      <c r="F55" s="261"/>
      <c r="G55" s="44"/>
    </row>
    <row r="56" spans="1:7" s="45" customFormat="1" x14ac:dyDescent="0.3">
      <c r="A56" s="47"/>
      <c r="B56" s="47"/>
      <c r="C56" s="136" t="str">
        <f t="shared" si="7"/>
        <v/>
      </c>
      <c r="D56" s="48"/>
      <c r="E56" s="260"/>
      <c r="F56" s="261"/>
      <c r="G56" s="44"/>
    </row>
    <row r="57" spans="1:7" s="45" customFormat="1" x14ac:dyDescent="0.3">
      <c r="A57" s="47"/>
      <c r="B57" s="47"/>
      <c r="C57" s="136" t="str">
        <f t="shared" si="7"/>
        <v/>
      </c>
      <c r="D57" s="48"/>
      <c r="E57" s="260"/>
      <c r="F57" s="261"/>
      <c r="G57" s="44"/>
    </row>
    <row r="58" spans="1:7" s="45" customFormat="1" x14ac:dyDescent="0.3">
      <c r="A58" s="47"/>
      <c r="B58" s="47"/>
      <c r="C58" s="136" t="str">
        <f t="shared" si="7"/>
        <v/>
      </c>
      <c r="D58" s="48"/>
      <c r="E58" s="260"/>
      <c r="F58" s="261"/>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54"/>
      <c r="F60" s="255"/>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6" t="s">
        <v>14</v>
      </c>
      <c r="F63" s="257"/>
      <c r="G63" s="39"/>
    </row>
    <row r="64" spans="1:7" s="45" customFormat="1" ht="27" x14ac:dyDescent="0.3">
      <c r="A64" s="46" t="s">
        <v>72</v>
      </c>
      <c r="B64" s="47">
        <v>25</v>
      </c>
      <c r="C64" s="135" t="str">
        <f t="shared" ref="C64" si="8" xml:space="preserve"> IF(B64="","",setValueToTime(B64))</f>
        <v>2h5min</v>
      </c>
      <c r="D64" s="43" t="s">
        <v>130</v>
      </c>
      <c r="E64" s="258"/>
      <c r="F64" s="259"/>
      <c r="G64" s="44"/>
    </row>
    <row r="65" spans="1:7" s="45" customFormat="1" ht="27" x14ac:dyDescent="0.3">
      <c r="A65" s="46" t="s">
        <v>67</v>
      </c>
      <c r="B65" s="47">
        <v>23</v>
      </c>
      <c r="C65" s="135" t="str">
        <f t="shared" ref="C65:C71" si="9" xml:space="preserve"> IF(B65="","",setValueToTime(B65))</f>
        <v>1h55min</v>
      </c>
      <c r="D65" s="48" t="s">
        <v>131</v>
      </c>
      <c r="E65" s="260"/>
      <c r="F65" s="261"/>
      <c r="G65" s="44"/>
    </row>
    <row r="66" spans="1:7" s="45" customFormat="1" x14ac:dyDescent="0.3">
      <c r="A66" s="46"/>
      <c r="B66" s="47"/>
      <c r="C66" s="135" t="str">
        <f t="shared" si="9"/>
        <v/>
      </c>
      <c r="D66" s="48"/>
      <c r="E66" s="260"/>
      <c r="F66" s="261"/>
      <c r="G66" s="44"/>
    </row>
    <row r="67" spans="1:7" s="45" customFormat="1" x14ac:dyDescent="0.3">
      <c r="A67" s="46"/>
      <c r="B67" s="47"/>
      <c r="C67" s="135" t="str">
        <f t="shared" si="9"/>
        <v/>
      </c>
      <c r="D67" s="48"/>
      <c r="E67" s="260"/>
      <c r="F67" s="261"/>
      <c r="G67" s="44"/>
    </row>
    <row r="68" spans="1:7" s="45" customFormat="1" x14ac:dyDescent="0.3">
      <c r="A68" s="47"/>
      <c r="B68" s="47"/>
      <c r="C68" s="136" t="str">
        <f t="shared" si="9"/>
        <v/>
      </c>
      <c r="D68" s="48"/>
      <c r="E68" s="260"/>
      <c r="F68" s="261"/>
      <c r="G68" s="44"/>
    </row>
    <row r="69" spans="1:7" s="45" customFormat="1" x14ac:dyDescent="0.3">
      <c r="A69" s="47"/>
      <c r="B69" s="47"/>
      <c r="C69" s="136" t="str">
        <f t="shared" si="9"/>
        <v/>
      </c>
      <c r="D69" s="48"/>
      <c r="E69" s="260"/>
      <c r="F69" s="261"/>
      <c r="G69" s="44"/>
    </row>
    <row r="70" spans="1:7" s="45" customFormat="1" x14ac:dyDescent="0.3">
      <c r="A70" s="47"/>
      <c r="B70" s="47"/>
      <c r="C70" s="136" t="str">
        <f t="shared" si="9"/>
        <v/>
      </c>
      <c r="D70" s="48"/>
      <c r="E70" s="260"/>
      <c r="F70" s="261"/>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54"/>
      <c r="F72" s="255"/>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6" t="s">
        <v>14</v>
      </c>
      <c r="F75" s="257"/>
      <c r="G75" s="39"/>
    </row>
    <row r="76" spans="1:7" s="45" customFormat="1" ht="27" x14ac:dyDescent="0.3">
      <c r="A76" s="41" t="s">
        <v>128</v>
      </c>
      <c r="B76" s="42">
        <v>37</v>
      </c>
      <c r="C76" s="134" t="str">
        <f xml:space="preserve"> IF(B76="","",setValueToTime(B76))</f>
        <v>3h5min</v>
      </c>
      <c r="D76" s="48" t="s">
        <v>129</v>
      </c>
      <c r="E76" s="258"/>
      <c r="F76" s="259"/>
      <c r="G76" s="44"/>
    </row>
    <row r="77" spans="1:7" s="45" customFormat="1" ht="27" x14ac:dyDescent="0.3">
      <c r="A77" s="46" t="s">
        <v>71</v>
      </c>
      <c r="B77" s="47">
        <v>1</v>
      </c>
      <c r="C77" s="135" t="str">
        <f t="shared" ref="C77" si="10" xml:space="preserve"> IF(B77="","",setValueToTime(B77))</f>
        <v>0h5min</v>
      </c>
      <c r="D77" s="48" t="s">
        <v>80</v>
      </c>
      <c r="E77" s="260"/>
      <c r="F77" s="261"/>
      <c r="G77" s="44"/>
    </row>
    <row r="78" spans="1:7" s="45" customFormat="1" x14ac:dyDescent="0.3">
      <c r="A78" s="46"/>
      <c r="B78" s="47"/>
      <c r="C78" s="135" t="str">
        <f t="shared" ref="C78:C83" si="11" xml:space="preserve"> IF(B78="","",setValueToTime(B78))</f>
        <v/>
      </c>
      <c r="D78" s="48"/>
      <c r="E78" s="260"/>
      <c r="F78" s="261"/>
      <c r="G78" s="44"/>
    </row>
    <row r="79" spans="1:7" s="45" customFormat="1" x14ac:dyDescent="0.3">
      <c r="A79" s="46"/>
      <c r="B79" s="47"/>
      <c r="C79" s="135" t="str">
        <f t="shared" si="11"/>
        <v/>
      </c>
      <c r="D79" s="48"/>
      <c r="E79" s="260"/>
      <c r="F79" s="261"/>
      <c r="G79" s="44"/>
    </row>
    <row r="80" spans="1:7" s="45" customFormat="1" x14ac:dyDescent="0.3">
      <c r="A80" s="47"/>
      <c r="B80" s="47"/>
      <c r="C80" s="136" t="str">
        <f t="shared" si="11"/>
        <v/>
      </c>
      <c r="D80" s="48"/>
      <c r="E80" s="260"/>
      <c r="F80" s="261"/>
      <c r="G80" s="44"/>
    </row>
    <row r="81" spans="1:7" s="45" customFormat="1" x14ac:dyDescent="0.3">
      <c r="A81" s="47"/>
      <c r="B81" s="47"/>
      <c r="C81" s="136" t="str">
        <f t="shared" si="11"/>
        <v/>
      </c>
      <c r="D81" s="48"/>
      <c r="E81" s="260"/>
      <c r="F81" s="261"/>
      <c r="G81" s="44"/>
    </row>
    <row r="82" spans="1:7" s="45" customFormat="1" x14ac:dyDescent="0.3">
      <c r="A82" s="47"/>
      <c r="B82" s="47"/>
      <c r="C82" s="136" t="str">
        <f t="shared" si="11"/>
        <v/>
      </c>
      <c r="D82" s="48"/>
      <c r="E82" s="260"/>
      <c r="F82" s="261"/>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54"/>
      <c r="F84" s="255"/>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6" t="s">
        <v>14</v>
      </c>
      <c r="F87" s="257"/>
      <c r="G87" s="39"/>
    </row>
    <row r="88" spans="1:7" s="45" customFormat="1" ht="27" x14ac:dyDescent="0.3">
      <c r="A88" s="41" t="s">
        <v>128</v>
      </c>
      <c r="B88" s="42">
        <v>34</v>
      </c>
      <c r="C88" s="134" t="str">
        <f xml:space="preserve"> IF(B88="","",setValueToTime(B88))</f>
        <v>2h50min</v>
      </c>
      <c r="D88" s="48" t="s">
        <v>129</v>
      </c>
      <c r="E88" s="258"/>
      <c r="F88" s="259"/>
      <c r="G88" s="44"/>
    </row>
    <row r="89" spans="1:7" s="45" customFormat="1" ht="27" x14ac:dyDescent="0.3">
      <c r="A89" s="46" t="s">
        <v>71</v>
      </c>
      <c r="B89" s="47">
        <v>1</v>
      </c>
      <c r="C89" s="135" t="str">
        <f t="shared" ref="C89:C90" si="12" xml:space="preserve"> IF(B89="","",setValueToTime(B89))</f>
        <v>0h5min</v>
      </c>
      <c r="D89" s="48" t="s">
        <v>80</v>
      </c>
      <c r="E89" s="260"/>
      <c r="F89" s="261"/>
      <c r="G89" s="44"/>
    </row>
    <row r="90" spans="1:7" s="45" customFormat="1" x14ac:dyDescent="0.3">
      <c r="A90" s="46" t="s">
        <v>81</v>
      </c>
      <c r="B90" s="47">
        <v>3</v>
      </c>
      <c r="C90" s="135" t="str">
        <f t="shared" si="12"/>
        <v>0h15min</v>
      </c>
      <c r="D90" s="48" t="s">
        <v>87</v>
      </c>
      <c r="E90" s="260"/>
      <c r="F90" s="261"/>
      <c r="G90" s="44"/>
    </row>
    <row r="91" spans="1:7" s="45" customFormat="1" x14ac:dyDescent="0.3">
      <c r="A91" s="46"/>
      <c r="B91" s="47"/>
      <c r="C91" s="135" t="str">
        <f t="shared" ref="C91:C95" si="13" xml:space="preserve"> IF(B91="","",setValueToTime(B91))</f>
        <v/>
      </c>
      <c r="D91" s="48"/>
      <c r="E91" s="260"/>
      <c r="F91" s="261"/>
      <c r="G91" s="44"/>
    </row>
    <row r="92" spans="1:7" s="45" customFormat="1" x14ac:dyDescent="0.3">
      <c r="A92" s="47"/>
      <c r="B92" s="47"/>
      <c r="C92" s="136" t="str">
        <f t="shared" si="13"/>
        <v/>
      </c>
      <c r="D92" s="48"/>
      <c r="E92" s="260"/>
      <c r="F92" s="261"/>
      <c r="G92" s="44"/>
    </row>
    <row r="93" spans="1:7" s="45" customFormat="1" x14ac:dyDescent="0.3">
      <c r="A93" s="47"/>
      <c r="B93" s="47"/>
      <c r="C93" s="136" t="str">
        <f t="shared" si="13"/>
        <v/>
      </c>
      <c r="D93" s="48"/>
      <c r="E93" s="260"/>
      <c r="F93" s="261"/>
      <c r="G93" s="44"/>
    </row>
    <row r="94" spans="1:7" s="45" customFormat="1" x14ac:dyDescent="0.3">
      <c r="A94" s="47"/>
      <c r="B94" s="47"/>
      <c r="C94" s="136" t="str">
        <f t="shared" si="13"/>
        <v/>
      </c>
      <c r="D94" s="48"/>
      <c r="E94" s="260"/>
      <c r="F94" s="261"/>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54"/>
      <c r="F96" s="255"/>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6" t="s">
        <v>14</v>
      </c>
      <c r="F99" s="257"/>
      <c r="G99" s="39"/>
    </row>
    <row r="100" spans="1:7" s="45" customFormat="1" ht="27.75" thickBot="1" x14ac:dyDescent="0.35">
      <c r="A100" s="41" t="s">
        <v>66</v>
      </c>
      <c r="B100" s="47">
        <v>30</v>
      </c>
      <c r="C100" s="135" t="str">
        <f t="shared" ref="C100" si="14" xml:space="preserve"> IF(B100="","",setValueToTime(B100))</f>
        <v>2h30min</v>
      </c>
      <c r="D100" s="48" t="s">
        <v>126</v>
      </c>
      <c r="E100" s="258"/>
      <c r="F100" s="259"/>
      <c r="G100" s="44"/>
    </row>
    <row r="101" spans="1:7" s="45" customFormat="1" ht="27" x14ac:dyDescent="0.3">
      <c r="A101" s="46" t="s">
        <v>72</v>
      </c>
      <c r="B101" s="47">
        <v>17</v>
      </c>
      <c r="C101" s="135" t="str">
        <f t="shared" ref="C101:C107" si="15" xml:space="preserve"> IF(B101="","",setValueToTime(B101))</f>
        <v>1h25min</v>
      </c>
      <c r="D101" s="43" t="s">
        <v>127</v>
      </c>
      <c r="E101" s="260"/>
      <c r="F101" s="261"/>
      <c r="G101" s="44"/>
    </row>
    <row r="102" spans="1:7" s="45" customFormat="1" x14ac:dyDescent="0.3">
      <c r="A102" s="46"/>
      <c r="B102" s="47"/>
      <c r="C102" s="135" t="str">
        <f t="shared" si="15"/>
        <v/>
      </c>
      <c r="D102" s="48"/>
      <c r="E102" s="260"/>
      <c r="F102" s="261"/>
      <c r="G102" s="44"/>
    </row>
    <row r="103" spans="1:7" s="45" customFormat="1" x14ac:dyDescent="0.3">
      <c r="A103" s="46"/>
      <c r="B103" s="47"/>
      <c r="C103" s="135" t="str">
        <f t="shared" si="15"/>
        <v/>
      </c>
      <c r="D103" s="48"/>
      <c r="E103" s="260"/>
      <c r="F103" s="261"/>
      <c r="G103" s="44"/>
    </row>
    <row r="104" spans="1:7" s="45" customFormat="1" x14ac:dyDescent="0.3">
      <c r="A104" s="47"/>
      <c r="B104" s="47"/>
      <c r="C104" s="136" t="str">
        <f t="shared" si="15"/>
        <v/>
      </c>
      <c r="D104" s="48"/>
      <c r="E104" s="260"/>
      <c r="F104" s="261"/>
      <c r="G104" s="44"/>
    </row>
    <row r="105" spans="1:7" s="45" customFormat="1" x14ac:dyDescent="0.3">
      <c r="A105" s="47"/>
      <c r="B105" s="47"/>
      <c r="C105" s="136" t="str">
        <f t="shared" si="15"/>
        <v/>
      </c>
      <c r="D105" s="48"/>
      <c r="E105" s="260"/>
      <c r="F105" s="261"/>
      <c r="G105" s="44"/>
    </row>
    <row r="106" spans="1:7" s="45" customFormat="1" x14ac:dyDescent="0.3">
      <c r="A106" s="47"/>
      <c r="B106" s="47"/>
      <c r="C106" s="136" t="str">
        <f t="shared" si="15"/>
        <v/>
      </c>
      <c r="D106" s="48"/>
      <c r="E106" s="260"/>
      <c r="F106" s="261"/>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54"/>
      <c r="F108" s="255"/>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6" t="s">
        <v>14</v>
      </c>
      <c r="F111" s="257"/>
      <c r="G111" s="39"/>
    </row>
    <row r="112" spans="1:7" s="45" customFormat="1" ht="27" x14ac:dyDescent="0.3">
      <c r="A112" s="41" t="s">
        <v>66</v>
      </c>
      <c r="B112" s="47">
        <v>28</v>
      </c>
      <c r="C112" s="135" t="str">
        <f t="shared" ref="C112" si="16" xml:space="preserve"> IF(B112="","",setValueToTime(B112))</f>
        <v>2h20min</v>
      </c>
      <c r="D112" s="48" t="s">
        <v>126</v>
      </c>
      <c r="E112" s="258"/>
      <c r="F112" s="259"/>
      <c r="G112" s="44"/>
    </row>
    <row r="113" spans="1:7" s="45" customFormat="1" ht="27" x14ac:dyDescent="0.3">
      <c r="A113" s="46" t="s">
        <v>71</v>
      </c>
      <c r="B113" s="47">
        <v>1</v>
      </c>
      <c r="C113" s="135" t="str">
        <f t="shared" ref="C113:C119" si="17" xml:space="preserve"> IF(B113="","",setValueToTime(B113))</f>
        <v>0h5min</v>
      </c>
      <c r="D113" s="48" t="s">
        <v>80</v>
      </c>
      <c r="E113" s="260"/>
      <c r="F113" s="261"/>
      <c r="G113" s="44"/>
    </row>
    <row r="114" spans="1:7" s="45" customFormat="1" x14ac:dyDescent="0.3">
      <c r="A114" s="46"/>
      <c r="B114" s="47"/>
      <c r="C114" s="135" t="str">
        <f t="shared" si="17"/>
        <v/>
      </c>
      <c r="D114" s="48"/>
      <c r="E114" s="260"/>
      <c r="F114" s="261"/>
      <c r="G114" s="44"/>
    </row>
    <row r="115" spans="1:7" s="45" customFormat="1" x14ac:dyDescent="0.3">
      <c r="A115" s="46"/>
      <c r="B115" s="47"/>
      <c r="C115" s="135" t="str">
        <f t="shared" si="17"/>
        <v/>
      </c>
      <c r="D115" s="48"/>
      <c r="E115" s="260"/>
      <c r="F115" s="261"/>
      <c r="G115" s="44"/>
    </row>
    <row r="116" spans="1:7" s="45" customFormat="1" x14ac:dyDescent="0.3">
      <c r="A116" s="47"/>
      <c r="B116" s="47"/>
      <c r="C116" s="136" t="str">
        <f t="shared" si="17"/>
        <v/>
      </c>
      <c r="D116" s="48"/>
      <c r="E116" s="260"/>
      <c r="F116" s="261"/>
      <c r="G116" s="44"/>
    </row>
    <row r="117" spans="1:7" s="45" customFormat="1" x14ac:dyDescent="0.3">
      <c r="A117" s="47"/>
      <c r="B117" s="47"/>
      <c r="C117" s="136" t="str">
        <f t="shared" si="17"/>
        <v/>
      </c>
      <c r="D117" s="48"/>
      <c r="E117" s="260"/>
      <c r="F117" s="261"/>
      <c r="G117" s="44"/>
    </row>
    <row r="118" spans="1:7" s="45" customFormat="1" x14ac:dyDescent="0.3">
      <c r="A118" s="47"/>
      <c r="B118" s="47"/>
      <c r="C118" s="136" t="str">
        <f t="shared" si="17"/>
        <v/>
      </c>
      <c r="D118" s="48"/>
      <c r="E118" s="260"/>
      <c r="F118" s="261"/>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54"/>
      <c r="F120" s="255"/>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6" t="s">
        <v>14</v>
      </c>
      <c r="F123" s="257"/>
      <c r="G123" s="39"/>
    </row>
    <row r="124" spans="1:7" s="45" customFormat="1" ht="27" x14ac:dyDescent="0.3">
      <c r="A124" s="41" t="s">
        <v>72</v>
      </c>
      <c r="B124" s="42">
        <v>15</v>
      </c>
      <c r="C124" s="134" t="str">
        <f xml:space="preserve"> IF(B124="","",setValueToTime(B124))</f>
        <v>1h15min</v>
      </c>
      <c r="D124" s="43" t="s">
        <v>125</v>
      </c>
      <c r="E124" s="258"/>
      <c r="F124" s="259"/>
      <c r="G124" s="44"/>
    </row>
    <row r="125" spans="1:7" s="45" customFormat="1" ht="27" x14ac:dyDescent="0.3">
      <c r="A125" s="46" t="s">
        <v>66</v>
      </c>
      <c r="B125" s="47">
        <v>23</v>
      </c>
      <c r="C125" s="135" t="str">
        <f t="shared" ref="C125:C131" si="18" xml:space="preserve"> IF(B125="","",setValueToTime(B125))</f>
        <v>1h55min</v>
      </c>
      <c r="D125" s="48" t="s">
        <v>126</v>
      </c>
      <c r="E125" s="260"/>
      <c r="F125" s="261"/>
      <c r="G125" s="44"/>
    </row>
    <row r="126" spans="1:7" s="45" customFormat="1" x14ac:dyDescent="0.3">
      <c r="A126" s="46"/>
      <c r="B126" s="47"/>
      <c r="C126" s="135" t="str">
        <f t="shared" si="18"/>
        <v/>
      </c>
      <c r="D126" s="48"/>
      <c r="E126" s="260"/>
      <c r="F126" s="261"/>
      <c r="G126" s="44"/>
    </row>
    <row r="127" spans="1:7" s="45" customFormat="1" x14ac:dyDescent="0.3">
      <c r="A127" s="46"/>
      <c r="B127" s="47"/>
      <c r="C127" s="135" t="str">
        <f t="shared" si="18"/>
        <v/>
      </c>
      <c r="D127" s="48"/>
      <c r="E127" s="260"/>
      <c r="F127" s="261"/>
      <c r="G127" s="44"/>
    </row>
    <row r="128" spans="1:7" s="45" customFormat="1" x14ac:dyDescent="0.3">
      <c r="A128" s="47"/>
      <c r="B128" s="47"/>
      <c r="C128" s="136" t="str">
        <f t="shared" si="18"/>
        <v/>
      </c>
      <c r="D128" s="48"/>
      <c r="E128" s="260"/>
      <c r="F128" s="261"/>
      <c r="G128" s="44"/>
    </row>
    <row r="129" spans="1:7" s="45" customFormat="1" x14ac:dyDescent="0.3">
      <c r="A129" s="47"/>
      <c r="B129" s="47"/>
      <c r="C129" s="136" t="str">
        <f t="shared" si="18"/>
        <v/>
      </c>
      <c r="D129" s="48"/>
      <c r="E129" s="260"/>
      <c r="F129" s="261"/>
      <c r="G129" s="44"/>
    </row>
    <row r="130" spans="1:7" s="45" customFormat="1" x14ac:dyDescent="0.3">
      <c r="A130" s="47"/>
      <c r="B130" s="47"/>
      <c r="C130" s="136" t="str">
        <f t="shared" si="18"/>
        <v/>
      </c>
      <c r="D130" s="48"/>
      <c r="E130" s="260"/>
      <c r="F130" s="261"/>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54"/>
      <c r="F132" s="255"/>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6" t="s">
        <v>14</v>
      </c>
      <c r="F135" s="257"/>
      <c r="G135" s="39"/>
    </row>
    <row r="136" spans="1:7" s="45" customFormat="1" ht="27" x14ac:dyDescent="0.3">
      <c r="A136" s="41" t="s">
        <v>65</v>
      </c>
      <c r="B136" s="42">
        <v>34</v>
      </c>
      <c r="C136" s="134" t="str">
        <f xml:space="preserve"> IF(B136="","",setValueToTime(B136))</f>
        <v>2h50min</v>
      </c>
      <c r="D136" s="48" t="s">
        <v>124</v>
      </c>
      <c r="E136" s="258"/>
      <c r="F136" s="259"/>
      <c r="G136" s="44"/>
    </row>
    <row r="137" spans="1:7" s="45" customFormat="1" ht="27" x14ac:dyDescent="0.3">
      <c r="A137" s="46" t="s">
        <v>71</v>
      </c>
      <c r="B137" s="47">
        <v>1</v>
      </c>
      <c r="C137" s="135" t="str">
        <f t="shared" ref="C137:C138" si="19" xml:space="preserve"> IF(B137="","",setValueToTime(B137))</f>
        <v>0h5min</v>
      </c>
      <c r="D137" s="48" t="s">
        <v>80</v>
      </c>
      <c r="E137" s="260"/>
      <c r="F137" s="261"/>
      <c r="G137" s="44"/>
    </row>
    <row r="138" spans="1:7" s="45" customFormat="1" x14ac:dyDescent="0.3">
      <c r="A138" s="46" t="s">
        <v>81</v>
      </c>
      <c r="B138" s="47">
        <v>3</v>
      </c>
      <c r="C138" s="135" t="str">
        <f t="shared" si="19"/>
        <v>0h15min</v>
      </c>
      <c r="D138" s="48" t="s">
        <v>87</v>
      </c>
      <c r="E138" s="260"/>
      <c r="F138" s="261"/>
      <c r="G138" s="44"/>
    </row>
    <row r="139" spans="1:7" s="45" customFormat="1" x14ac:dyDescent="0.3">
      <c r="A139" s="46"/>
      <c r="B139" s="47"/>
      <c r="C139" s="135" t="str">
        <f t="shared" ref="C139:C143" si="20" xml:space="preserve"> IF(B139="","",setValueToTime(B139))</f>
        <v/>
      </c>
      <c r="D139" s="48"/>
      <c r="E139" s="260"/>
      <c r="F139" s="261"/>
      <c r="G139" s="44"/>
    </row>
    <row r="140" spans="1:7" s="45" customFormat="1" x14ac:dyDescent="0.3">
      <c r="A140" s="47"/>
      <c r="B140" s="47"/>
      <c r="C140" s="136" t="str">
        <f t="shared" si="20"/>
        <v/>
      </c>
      <c r="D140" s="48"/>
      <c r="E140" s="260"/>
      <c r="F140" s="261"/>
      <c r="G140" s="44"/>
    </row>
    <row r="141" spans="1:7" s="45" customFormat="1" x14ac:dyDescent="0.3">
      <c r="A141" s="47"/>
      <c r="B141" s="47"/>
      <c r="C141" s="136" t="str">
        <f t="shared" si="20"/>
        <v/>
      </c>
      <c r="D141" s="48"/>
      <c r="E141" s="260"/>
      <c r="F141" s="261"/>
      <c r="G141" s="44"/>
    </row>
    <row r="142" spans="1:7" s="45" customFormat="1" x14ac:dyDescent="0.3">
      <c r="A142" s="47"/>
      <c r="B142" s="47"/>
      <c r="C142" s="136" t="str">
        <f t="shared" si="20"/>
        <v/>
      </c>
      <c r="D142" s="48"/>
      <c r="E142" s="260"/>
      <c r="F142" s="261"/>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54"/>
      <c r="F144" s="255"/>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6" t="s">
        <v>14</v>
      </c>
      <c r="F147" s="257"/>
      <c r="G147" s="39"/>
    </row>
    <row r="148" spans="1:7" s="45" customFormat="1" ht="27" x14ac:dyDescent="0.3">
      <c r="A148" s="41" t="s">
        <v>72</v>
      </c>
      <c r="B148" s="42">
        <v>48</v>
      </c>
      <c r="C148" s="134" t="str">
        <f xml:space="preserve"> IF(B148="","",setValueToTime(B148))</f>
        <v>4h</v>
      </c>
      <c r="D148" s="43" t="s">
        <v>121</v>
      </c>
      <c r="E148" s="258"/>
      <c r="F148" s="259"/>
      <c r="G148" s="44"/>
    </row>
    <row r="149" spans="1:7" s="45" customFormat="1" x14ac:dyDescent="0.3">
      <c r="A149" s="46"/>
      <c r="B149" s="47"/>
      <c r="C149" s="135" t="str">
        <f t="shared" ref="C149:C155" si="21" xml:space="preserve"> IF(B149="","",setValueToTime(B149))</f>
        <v/>
      </c>
      <c r="D149" s="48"/>
      <c r="E149" s="260"/>
      <c r="F149" s="261"/>
      <c r="G149" s="44"/>
    </row>
    <row r="150" spans="1:7" s="45" customFormat="1" x14ac:dyDescent="0.3">
      <c r="A150" s="46"/>
      <c r="B150" s="47"/>
      <c r="C150" s="135" t="str">
        <f t="shared" si="21"/>
        <v/>
      </c>
      <c r="D150" s="48"/>
      <c r="E150" s="260"/>
      <c r="F150" s="261"/>
      <c r="G150" s="44"/>
    </row>
    <row r="151" spans="1:7" s="45" customFormat="1" x14ac:dyDescent="0.3">
      <c r="A151" s="46"/>
      <c r="B151" s="47"/>
      <c r="C151" s="135" t="str">
        <f t="shared" si="21"/>
        <v/>
      </c>
      <c r="D151" s="48"/>
      <c r="E151" s="260"/>
      <c r="F151" s="261"/>
      <c r="G151" s="44"/>
    </row>
    <row r="152" spans="1:7" s="45" customFormat="1" x14ac:dyDescent="0.3">
      <c r="A152" s="47"/>
      <c r="B152" s="47"/>
      <c r="C152" s="136" t="str">
        <f t="shared" si="21"/>
        <v/>
      </c>
      <c r="D152" s="48"/>
      <c r="E152" s="260"/>
      <c r="F152" s="261"/>
      <c r="G152" s="44"/>
    </row>
    <row r="153" spans="1:7" s="45" customFormat="1" x14ac:dyDescent="0.3">
      <c r="A153" s="47"/>
      <c r="B153" s="47"/>
      <c r="C153" s="136" t="str">
        <f t="shared" si="21"/>
        <v/>
      </c>
      <c r="D153" s="48"/>
      <c r="E153" s="260"/>
      <c r="F153" s="261"/>
      <c r="G153" s="44"/>
    </row>
    <row r="154" spans="1:7" s="45" customFormat="1" x14ac:dyDescent="0.3">
      <c r="A154" s="47"/>
      <c r="B154" s="47"/>
      <c r="C154" s="136" t="str">
        <f t="shared" si="21"/>
        <v/>
      </c>
      <c r="D154" s="48"/>
      <c r="E154" s="260"/>
      <c r="F154" s="261"/>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54"/>
      <c r="F156" s="255"/>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6" t="s">
        <v>14</v>
      </c>
      <c r="F159" s="257"/>
      <c r="G159" s="39"/>
    </row>
    <row r="160" spans="1:7" s="45" customFormat="1" ht="27" x14ac:dyDescent="0.3">
      <c r="A160" s="41" t="s">
        <v>64</v>
      </c>
      <c r="B160" s="42">
        <v>37</v>
      </c>
      <c r="C160" s="134" t="str">
        <f xml:space="preserve"> IF(B160="","",setValueToTime(B160))</f>
        <v>3h5min</v>
      </c>
      <c r="D160" s="48" t="s">
        <v>122</v>
      </c>
      <c r="E160" s="258"/>
      <c r="F160" s="259"/>
      <c r="G160" s="44"/>
    </row>
    <row r="161" spans="1:7" s="45" customFormat="1" ht="27" x14ac:dyDescent="0.3">
      <c r="A161" s="46" t="s">
        <v>71</v>
      </c>
      <c r="B161" s="47">
        <v>1</v>
      </c>
      <c r="C161" s="135" t="str">
        <f t="shared" ref="C161" si="22" xml:space="preserve"> IF(B161="","",setValueToTime(B161))</f>
        <v>0h5min</v>
      </c>
      <c r="D161" s="48" t="s">
        <v>80</v>
      </c>
      <c r="E161" s="260"/>
      <c r="F161" s="261"/>
      <c r="G161" s="44"/>
    </row>
    <row r="162" spans="1:7" s="45" customFormat="1" x14ac:dyDescent="0.3">
      <c r="A162" s="46"/>
      <c r="B162" s="47"/>
      <c r="C162" s="135" t="str">
        <f t="shared" ref="C162:C167" si="23" xml:space="preserve"> IF(B162="","",setValueToTime(B162))</f>
        <v/>
      </c>
      <c r="D162" s="48"/>
      <c r="E162" s="260"/>
      <c r="F162" s="261"/>
      <c r="G162" s="44"/>
    </row>
    <row r="163" spans="1:7" s="45" customFormat="1" x14ac:dyDescent="0.3">
      <c r="A163" s="46"/>
      <c r="B163" s="47"/>
      <c r="C163" s="135" t="str">
        <f t="shared" si="23"/>
        <v/>
      </c>
      <c r="D163" s="48"/>
      <c r="E163" s="260"/>
      <c r="F163" s="261"/>
      <c r="G163" s="44"/>
    </row>
    <row r="164" spans="1:7" s="45" customFormat="1" x14ac:dyDescent="0.3">
      <c r="A164" s="47"/>
      <c r="B164" s="47"/>
      <c r="C164" s="136" t="str">
        <f t="shared" si="23"/>
        <v/>
      </c>
      <c r="D164" s="48"/>
      <c r="E164" s="260"/>
      <c r="F164" s="261"/>
      <c r="G164" s="44"/>
    </row>
    <row r="165" spans="1:7" s="45" customFormat="1" x14ac:dyDescent="0.3">
      <c r="A165" s="47"/>
      <c r="B165" s="47"/>
      <c r="C165" s="136" t="str">
        <f t="shared" si="23"/>
        <v/>
      </c>
      <c r="D165" s="48"/>
      <c r="E165" s="260"/>
      <c r="F165" s="261"/>
      <c r="G165" s="44"/>
    </row>
    <row r="166" spans="1:7" s="45" customFormat="1" x14ac:dyDescent="0.3">
      <c r="A166" s="47"/>
      <c r="B166" s="47"/>
      <c r="C166" s="136" t="str">
        <f t="shared" si="23"/>
        <v/>
      </c>
      <c r="D166" s="48"/>
      <c r="E166" s="260"/>
      <c r="F166" s="261"/>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54"/>
      <c r="F168" s="255"/>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6" t="s">
        <v>14</v>
      </c>
      <c r="F171" s="257"/>
      <c r="G171" s="39"/>
    </row>
    <row r="172" spans="1:7" s="45" customFormat="1" ht="27" x14ac:dyDescent="0.3">
      <c r="A172" s="41" t="s">
        <v>63</v>
      </c>
      <c r="B172" s="42">
        <v>34</v>
      </c>
      <c r="C172" s="134" t="str">
        <f xml:space="preserve"> IF(B172="","",setValueToTime(B172))</f>
        <v>2h50min</v>
      </c>
      <c r="D172" s="48" t="s">
        <v>123</v>
      </c>
      <c r="E172" s="258"/>
      <c r="F172" s="259"/>
      <c r="G172" s="44"/>
    </row>
    <row r="173" spans="1:7" s="45" customFormat="1" ht="27" x14ac:dyDescent="0.3">
      <c r="A173" s="46" t="s">
        <v>71</v>
      </c>
      <c r="B173" s="47">
        <v>1</v>
      </c>
      <c r="C173" s="135" t="str">
        <f t="shared" ref="C173:C174" si="24" xml:space="preserve"> IF(B173="","",setValueToTime(B173))</f>
        <v>0h5min</v>
      </c>
      <c r="D173" s="48" t="s">
        <v>80</v>
      </c>
      <c r="E173" s="260"/>
      <c r="F173" s="261"/>
      <c r="G173" s="44"/>
    </row>
    <row r="174" spans="1:7" s="45" customFormat="1" x14ac:dyDescent="0.3">
      <c r="A174" s="46" t="s">
        <v>81</v>
      </c>
      <c r="B174" s="47">
        <v>3</v>
      </c>
      <c r="C174" s="135" t="str">
        <f t="shared" si="24"/>
        <v>0h15min</v>
      </c>
      <c r="D174" s="48" t="s">
        <v>87</v>
      </c>
      <c r="E174" s="260"/>
      <c r="F174" s="261"/>
      <c r="G174" s="44"/>
    </row>
    <row r="175" spans="1:7" s="45" customFormat="1" x14ac:dyDescent="0.3">
      <c r="A175" s="46"/>
      <c r="B175" s="47"/>
      <c r="C175" s="135" t="str">
        <f t="shared" ref="C175:C179" si="25" xml:space="preserve"> IF(B175="","",setValueToTime(B175))</f>
        <v/>
      </c>
      <c r="D175" s="48"/>
      <c r="E175" s="260"/>
      <c r="F175" s="261"/>
      <c r="G175" s="44"/>
    </row>
    <row r="176" spans="1:7" s="45" customFormat="1" x14ac:dyDescent="0.3">
      <c r="A176" s="47"/>
      <c r="B176" s="47"/>
      <c r="C176" s="136" t="str">
        <f t="shared" si="25"/>
        <v/>
      </c>
      <c r="D176" s="48"/>
      <c r="E176" s="260"/>
      <c r="F176" s="261"/>
      <c r="G176" s="44"/>
    </row>
    <row r="177" spans="1:7" s="45" customFormat="1" x14ac:dyDescent="0.3">
      <c r="A177" s="47"/>
      <c r="B177" s="47"/>
      <c r="C177" s="136" t="str">
        <f t="shared" si="25"/>
        <v/>
      </c>
      <c r="D177" s="48"/>
      <c r="E177" s="260"/>
      <c r="F177" s="261"/>
      <c r="G177" s="44"/>
    </row>
    <row r="178" spans="1:7" s="45" customFormat="1" x14ac:dyDescent="0.3">
      <c r="A178" s="47"/>
      <c r="B178" s="47"/>
      <c r="C178" s="136" t="str">
        <f t="shared" si="25"/>
        <v/>
      </c>
      <c r="D178" s="48"/>
      <c r="E178" s="260"/>
      <c r="F178" s="261"/>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54"/>
      <c r="F180" s="255"/>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6" t="s">
        <v>14</v>
      </c>
      <c r="F183" s="257"/>
      <c r="G183" s="39"/>
    </row>
    <row r="184" spans="1:7" s="45" customFormat="1" ht="27" x14ac:dyDescent="0.3">
      <c r="A184" s="41" t="s">
        <v>72</v>
      </c>
      <c r="B184" s="42">
        <v>30</v>
      </c>
      <c r="C184" s="134" t="str">
        <f xml:space="preserve"> IF(B184="","",setValueToTime(B184))</f>
        <v>2h30min</v>
      </c>
      <c r="D184" s="43" t="s">
        <v>120</v>
      </c>
      <c r="E184" s="258"/>
      <c r="F184" s="259"/>
      <c r="G184" s="44"/>
    </row>
    <row r="185" spans="1:7" s="45" customFormat="1" ht="27" x14ac:dyDescent="0.3">
      <c r="A185" s="46" t="s">
        <v>63</v>
      </c>
      <c r="B185" s="47">
        <v>18</v>
      </c>
      <c r="C185" s="135" t="str">
        <f t="shared" ref="C185:C191" si="26" xml:space="preserve"> IF(B185="","",setValueToTime(B185))</f>
        <v>1h30min</v>
      </c>
      <c r="D185" s="196" t="s">
        <v>123</v>
      </c>
      <c r="E185" s="260"/>
      <c r="F185" s="261"/>
      <c r="G185" s="44"/>
    </row>
    <row r="186" spans="1:7" s="45" customFormat="1" x14ac:dyDescent="0.3">
      <c r="A186" s="46"/>
      <c r="B186" s="47"/>
      <c r="C186" s="135" t="str">
        <f t="shared" si="26"/>
        <v/>
      </c>
      <c r="D186" s="48"/>
      <c r="E186" s="260"/>
      <c r="F186" s="261"/>
      <c r="G186" s="44"/>
    </row>
    <row r="187" spans="1:7" s="45" customFormat="1" x14ac:dyDescent="0.3">
      <c r="A187" s="46"/>
      <c r="B187" s="47"/>
      <c r="C187" s="135" t="str">
        <f t="shared" si="26"/>
        <v/>
      </c>
      <c r="D187" s="48"/>
      <c r="E187" s="260"/>
      <c r="F187" s="261"/>
      <c r="G187" s="44"/>
    </row>
    <row r="188" spans="1:7" s="45" customFormat="1" x14ac:dyDescent="0.3">
      <c r="A188" s="47"/>
      <c r="B188" s="47"/>
      <c r="C188" s="136" t="str">
        <f t="shared" si="26"/>
        <v/>
      </c>
      <c r="D188" s="48"/>
      <c r="E188" s="260"/>
      <c r="F188" s="261"/>
      <c r="G188" s="44"/>
    </row>
    <row r="189" spans="1:7" s="45" customFormat="1" x14ac:dyDescent="0.3">
      <c r="A189" s="47"/>
      <c r="B189" s="47"/>
      <c r="C189" s="136" t="str">
        <f t="shared" si="26"/>
        <v/>
      </c>
      <c r="D189" s="48"/>
      <c r="E189" s="260"/>
      <c r="F189" s="261"/>
      <c r="G189" s="44"/>
    </row>
    <row r="190" spans="1:7" s="45" customFormat="1" x14ac:dyDescent="0.3">
      <c r="A190" s="47"/>
      <c r="B190" s="47"/>
      <c r="C190" s="136" t="str">
        <f t="shared" si="26"/>
        <v/>
      </c>
      <c r="D190" s="48"/>
      <c r="E190" s="260"/>
      <c r="F190" s="261"/>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54"/>
      <c r="F192" s="255"/>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6" t="s">
        <v>14</v>
      </c>
      <c r="F195" s="257"/>
      <c r="G195" s="39"/>
    </row>
    <row r="196" spans="1:7" s="45" customFormat="1" ht="27" x14ac:dyDescent="0.3">
      <c r="A196" s="41" t="s">
        <v>91</v>
      </c>
      <c r="B196" s="42">
        <v>25</v>
      </c>
      <c r="C196" s="134" t="str">
        <f xml:space="preserve"> IF(B196="","",setValueToTime(B196))</f>
        <v>2h5min</v>
      </c>
      <c r="D196" s="43" t="s">
        <v>93</v>
      </c>
      <c r="E196" s="258"/>
      <c r="F196" s="259"/>
      <c r="G196" s="44"/>
    </row>
    <row r="197" spans="1:7" s="45" customFormat="1" ht="27" x14ac:dyDescent="0.3">
      <c r="A197" s="46" t="s">
        <v>71</v>
      </c>
      <c r="B197" s="47">
        <v>1</v>
      </c>
      <c r="C197" s="135" t="str">
        <f t="shared" ref="C197:C203" si="27" xml:space="preserve"> IF(B197="","",setValueToTime(B197))</f>
        <v>0h5min</v>
      </c>
      <c r="D197" s="48" t="s">
        <v>80</v>
      </c>
      <c r="E197" s="260"/>
      <c r="F197" s="261"/>
      <c r="G197" s="44"/>
    </row>
    <row r="198" spans="1:7" s="45" customFormat="1" x14ac:dyDescent="0.3">
      <c r="A198" s="46" t="s">
        <v>81</v>
      </c>
      <c r="B198" s="47">
        <v>3</v>
      </c>
      <c r="C198" s="135" t="str">
        <f t="shared" si="27"/>
        <v>0h15min</v>
      </c>
      <c r="D198" s="48" t="s">
        <v>87</v>
      </c>
      <c r="E198" s="260"/>
      <c r="F198" s="261"/>
      <c r="G198" s="44"/>
    </row>
    <row r="199" spans="1:7" s="45" customFormat="1" x14ac:dyDescent="0.3">
      <c r="A199" s="46"/>
      <c r="B199" s="47"/>
      <c r="C199" s="135" t="str">
        <f t="shared" si="27"/>
        <v/>
      </c>
      <c r="D199" s="48"/>
      <c r="E199" s="260"/>
      <c r="F199" s="261"/>
      <c r="G199" s="44"/>
    </row>
    <row r="200" spans="1:7" s="45" customFormat="1" x14ac:dyDescent="0.3">
      <c r="A200" s="47"/>
      <c r="B200" s="47"/>
      <c r="C200" s="136" t="str">
        <f t="shared" si="27"/>
        <v/>
      </c>
      <c r="D200" s="48"/>
      <c r="E200" s="260"/>
      <c r="F200" s="261"/>
      <c r="G200" s="44"/>
    </row>
    <row r="201" spans="1:7" s="45" customFormat="1" x14ac:dyDescent="0.3">
      <c r="A201" s="47"/>
      <c r="B201" s="47"/>
      <c r="C201" s="136" t="str">
        <f t="shared" si="27"/>
        <v/>
      </c>
      <c r="D201" s="48"/>
      <c r="E201" s="260"/>
      <c r="F201" s="261"/>
      <c r="G201" s="44"/>
    </row>
    <row r="202" spans="1:7" s="45" customFormat="1" x14ac:dyDescent="0.3">
      <c r="A202" s="47"/>
      <c r="B202" s="47"/>
      <c r="C202" s="136" t="str">
        <f t="shared" si="27"/>
        <v/>
      </c>
      <c r="D202" s="48"/>
      <c r="E202" s="260"/>
      <c r="F202" s="261"/>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54"/>
      <c r="F204" s="255"/>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6" t="s">
        <v>14</v>
      </c>
      <c r="F207" s="257"/>
      <c r="G207" s="39"/>
    </row>
    <row r="208" spans="1:7" s="45" customFormat="1" ht="27" x14ac:dyDescent="0.3">
      <c r="A208" s="41" t="s">
        <v>91</v>
      </c>
      <c r="B208" s="42">
        <v>38</v>
      </c>
      <c r="C208" s="134" t="str">
        <f xml:space="preserve"> IF(B208="","",setValueToTime(B208))</f>
        <v>3h10min</v>
      </c>
      <c r="D208" s="43" t="s">
        <v>93</v>
      </c>
      <c r="E208" s="258"/>
      <c r="F208" s="259"/>
      <c r="G208" s="44"/>
    </row>
    <row r="209" spans="1:7" s="45" customFormat="1" x14ac:dyDescent="0.3">
      <c r="A209" s="46"/>
      <c r="B209" s="47"/>
      <c r="C209" s="135" t="str">
        <f t="shared" ref="C209:C215" si="28" xml:space="preserve"> IF(B209="","",setValueToTime(B209))</f>
        <v/>
      </c>
      <c r="D209" s="48"/>
      <c r="E209" s="260"/>
      <c r="F209" s="261"/>
      <c r="G209" s="44"/>
    </row>
    <row r="210" spans="1:7" s="45" customFormat="1" x14ac:dyDescent="0.3">
      <c r="A210" s="46"/>
      <c r="B210" s="47"/>
      <c r="C210" s="135" t="str">
        <f t="shared" si="28"/>
        <v/>
      </c>
      <c r="D210" s="48"/>
      <c r="E210" s="260"/>
      <c r="F210" s="261"/>
      <c r="G210" s="44"/>
    </row>
    <row r="211" spans="1:7" s="45" customFormat="1" x14ac:dyDescent="0.3">
      <c r="A211" s="46"/>
      <c r="B211" s="47"/>
      <c r="C211" s="135" t="str">
        <f t="shared" si="28"/>
        <v/>
      </c>
      <c r="D211" s="48"/>
      <c r="E211" s="260"/>
      <c r="F211" s="261"/>
      <c r="G211" s="44"/>
    </row>
    <row r="212" spans="1:7" s="45" customFormat="1" x14ac:dyDescent="0.3">
      <c r="A212" s="47"/>
      <c r="B212" s="47"/>
      <c r="C212" s="136" t="str">
        <f t="shared" si="28"/>
        <v/>
      </c>
      <c r="D212" s="48"/>
      <c r="E212" s="260"/>
      <c r="F212" s="261"/>
      <c r="G212" s="44"/>
    </row>
    <row r="213" spans="1:7" s="45" customFormat="1" x14ac:dyDescent="0.3">
      <c r="A213" s="47"/>
      <c r="B213" s="47"/>
      <c r="C213" s="136" t="str">
        <f t="shared" si="28"/>
        <v/>
      </c>
      <c r="D213" s="48"/>
      <c r="E213" s="260"/>
      <c r="F213" s="261"/>
      <c r="G213" s="44"/>
    </row>
    <row r="214" spans="1:7" s="45" customFormat="1" x14ac:dyDescent="0.3">
      <c r="A214" s="47"/>
      <c r="B214" s="47"/>
      <c r="C214" s="136" t="str">
        <f t="shared" si="28"/>
        <v/>
      </c>
      <c r="D214" s="48"/>
      <c r="E214" s="260"/>
      <c r="F214" s="261"/>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54"/>
      <c r="F216" s="255"/>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6" t="s">
        <v>14</v>
      </c>
      <c r="F219" s="257"/>
      <c r="G219" s="39"/>
    </row>
    <row r="220" spans="1:7" s="45" customFormat="1" x14ac:dyDescent="0.3">
      <c r="A220" s="41" t="s">
        <v>90</v>
      </c>
      <c r="B220" s="42">
        <v>34</v>
      </c>
      <c r="C220" s="134" t="str">
        <f xml:space="preserve"> IF(B220="","",setValueToTime(B220))</f>
        <v>2h50min</v>
      </c>
      <c r="D220" s="43" t="s">
        <v>92</v>
      </c>
      <c r="E220" s="258"/>
      <c r="F220" s="259"/>
      <c r="G220" s="44"/>
    </row>
    <row r="221" spans="1:7" s="45" customFormat="1" ht="27" x14ac:dyDescent="0.3">
      <c r="A221" s="46" t="s">
        <v>71</v>
      </c>
      <c r="B221" s="47">
        <v>1</v>
      </c>
      <c r="C221" s="135" t="str">
        <f t="shared" ref="C221:C227" si="29" xml:space="preserve"> IF(B221="","",setValueToTime(B221))</f>
        <v>0h5min</v>
      </c>
      <c r="D221" s="48" t="s">
        <v>80</v>
      </c>
      <c r="E221" s="260"/>
      <c r="F221" s="261"/>
      <c r="G221" s="44"/>
    </row>
    <row r="222" spans="1:7" s="45" customFormat="1" x14ac:dyDescent="0.3">
      <c r="A222" s="46" t="s">
        <v>81</v>
      </c>
      <c r="B222" s="47">
        <v>3</v>
      </c>
      <c r="C222" s="135" t="str">
        <f t="shared" si="29"/>
        <v>0h15min</v>
      </c>
      <c r="D222" s="48" t="s">
        <v>87</v>
      </c>
      <c r="E222" s="260"/>
      <c r="F222" s="261"/>
      <c r="G222" s="44"/>
    </row>
    <row r="223" spans="1:7" s="45" customFormat="1" x14ac:dyDescent="0.3">
      <c r="A223" s="46"/>
      <c r="B223" s="47"/>
      <c r="C223" s="135" t="str">
        <f t="shared" si="29"/>
        <v/>
      </c>
      <c r="D223" s="48"/>
      <c r="E223" s="260"/>
      <c r="F223" s="261"/>
      <c r="G223" s="44"/>
    </row>
    <row r="224" spans="1:7" s="45" customFormat="1" x14ac:dyDescent="0.3">
      <c r="A224" s="47"/>
      <c r="B224" s="47"/>
      <c r="C224" s="136" t="str">
        <f t="shared" si="29"/>
        <v/>
      </c>
      <c r="D224" s="48"/>
      <c r="E224" s="260"/>
      <c r="F224" s="261"/>
      <c r="G224" s="44"/>
    </row>
    <row r="225" spans="1:7" s="45" customFormat="1" x14ac:dyDescent="0.3">
      <c r="A225" s="47"/>
      <c r="B225" s="47"/>
      <c r="C225" s="136" t="str">
        <f t="shared" si="29"/>
        <v/>
      </c>
      <c r="D225" s="48"/>
      <c r="E225" s="260"/>
      <c r="F225" s="261"/>
      <c r="G225" s="44"/>
    </row>
    <row r="226" spans="1:7" s="45" customFormat="1" x14ac:dyDescent="0.3">
      <c r="A226" s="47"/>
      <c r="B226" s="47"/>
      <c r="C226" s="136" t="str">
        <f t="shared" si="29"/>
        <v/>
      </c>
      <c r="D226" s="48"/>
      <c r="E226" s="260"/>
      <c r="F226" s="261"/>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54"/>
      <c r="F228" s="255"/>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6" t="s">
        <v>14</v>
      </c>
      <c r="F231" s="257"/>
      <c r="G231" s="39"/>
    </row>
    <row r="232" spans="1:7" s="45" customFormat="1" ht="27" x14ac:dyDescent="0.3">
      <c r="A232" s="41" t="s">
        <v>69</v>
      </c>
      <c r="B232" s="42">
        <v>48</v>
      </c>
      <c r="C232" s="134" t="str">
        <f xml:space="preserve"> IF(B232="","",setValueToTime(B232))</f>
        <v>4h</v>
      </c>
      <c r="D232" s="43" t="s">
        <v>89</v>
      </c>
      <c r="E232" s="258"/>
      <c r="F232" s="259"/>
      <c r="G232" s="44"/>
    </row>
    <row r="233" spans="1:7" s="45" customFormat="1" x14ac:dyDescent="0.3">
      <c r="A233" s="46"/>
      <c r="B233" s="47"/>
      <c r="C233" s="135" t="str">
        <f t="shared" ref="C233:C239" si="30" xml:space="preserve"> IF(B233="","",setValueToTime(B233))</f>
        <v/>
      </c>
      <c r="D233" s="48"/>
      <c r="E233" s="260"/>
      <c r="F233" s="261"/>
      <c r="G233" s="44"/>
    </row>
    <row r="234" spans="1:7" s="45" customFormat="1" x14ac:dyDescent="0.3">
      <c r="A234" s="46"/>
      <c r="B234" s="47"/>
      <c r="C234" s="135" t="str">
        <f t="shared" si="30"/>
        <v/>
      </c>
      <c r="D234" s="48"/>
      <c r="E234" s="260"/>
      <c r="F234" s="261"/>
      <c r="G234" s="44"/>
    </row>
    <row r="235" spans="1:7" s="45" customFormat="1" x14ac:dyDescent="0.3">
      <c r="A235" s="46"/>
      <c r="B235" s="47"/>
      <c r="C235" s="135" t="str">
        <f t="shared" si="30"/>
        <v/>
      </c>
      <c r="D235" s="48"/>
      <c r="E235" s="260"/>
      <c r="F235" s="261"/>
      <c r="G235" s="44"/>
    </row>
    <row r="236" spans="1:7" s="45" customFormat="1" x14ac:dyDescent="0.3">
      <c r="A236" s="47"/>
      <c r="B236" s="47"/>
      <c r="C236" s="136" t="str">
        <f t="shared" si="30"/>
        <v/>
      </c>
      <c r="D236" s="48"/>
      <c r="E236" s="260"/>
      <c r="F236" s="261"/>
      <c r="G236" s="44"/>
    </row>
    <row r="237" spans="1:7" s="45" customFormat="1" x14ac:dyDescent="0.3">
      <c r="A237" s="47"/>
      <c r="B237" s="47"/>
      <c r="C237" s="136" t="str">
        <f t="shared" si="30"/>
        <v/>
      </c>
      <c r="D237" s="48"/>
      <c r="E237" s="260"/>
      <c r="F237" s="261"/>
      <c r="G237" s="44"/>
    </row>
    <row r="238" spans="1:7" s="45" customFormat="1" x14ac:dyDescent="0.3">
      <c r="A238" s="47"/>
      <c r="B238" s="47"/>
      <c r="C238" s="136" t="str">
        <f t="shared" si="30"/>
        <v/>
      </c>
      <c r="D238" s="48"/>
      <c r="E238" s="260"/>
      <c r="F238" s="261"/>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54"/>
      <c r="F240" s="255"/>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6" t="s">
        <v>14</v>
      </c>
      <c r="F243" s="257"/>
      <c r="G243" s="39"/>
    </row>
    <row r="244" spans="1:7" s="45" customFormat="1" ht="27" x14ac:dyDescent="0.3">
      <c r="A244" s="41" t="s">
        <v>62</v>
      </c>
      <c r="B244" s="42">
        <v>18</v>
      </c>
      <c r="C244" s="134" t="str">
        <f xml:space="preserve"> IF(B244="","",setValueToTime(B244))</f>
        <v>1h30min</v>
      </c>
      <c r="D244" s="43" t="s">
        <v>84</v>
      </c>
      <c r="E244" s="258"/>
      <c r="F244" s="259"/>
      <c r="G244" s="44"/>
    </row>
    <row r="245" spans="1:7" s="45" customFormat="1" ht="27" x14ac:dyDescent="0.3">
      <c r="A245" s="46" t="s">
        <v>85</v>
      </c>
      <c r="B245" s="47">
        <v>19</v>
      </c>
      <c r="C245" s="135" t="str">
        <f t="shared" ref="C245:C251" si="31" xml:space="preserve"> IF(B245="","",setValueToTime(B245))</f>
        <v>1h35min</v>
      </c>
      <c r="D245" s="48" t="s">
        <v>86</v>
      </c>
      <c r="E245" s="260"/>
      <c r="F245" s="261"/>
      <c r="G245" s="44"/>
    </row>
    <row r="246" spans="1:7" s="45" customFormat="1" ht="27" x14ac:dyDescent="0.3">
      <c r="A246" s="46" t="s">
        <v>71</v>
      </c>
      <c r="B246" s="47">
        <v>1</v>
      </c>
      <c r="C246" s="135" t="str">
        <f t="shared" si="31"/>
        <v>0h5min</v>
      </c>
      <c r="D246" s="48" t="s">
        <v>80</v>
      </c>
      <c r="E246" s="260"/>
      <c r="F246" s="261"/>
      <c r="G246" s="44"/>
    </row>
    <row r="247" spans="1:7" s="45" customFormat="1" x14ac:dyDescent="0.3">
      <c r="A247" s="46"/>
      <c r="B247" s="47"/>
      <c r="C247" s="135" t="str">
        <f t="shared" si="31"/>
        <v/>
      </c>
      <c r="D247" s="48"/>
      <c r="E247" s="260"/>
      <c r="F247" s="261"/>
      <c r="G247" s="44"/>
    </row>
    <row r="248" spans="1:7" s="45" customFormat="1" x14ac:dyDescent="0.3">
      <c r="A248" s="47"/>
      <c r="B248" s="47"/>
      <c r="C248" s="136" t="str">
        <f t="shared" si="31"/>
        <v/>
      </c>
      <c r="D248" s="48"/>
      <c r="E248" s="260"/>
      <c r="F248" s="261"/>
      <c r="G248" s="44"/>
    </row>
    <row r="249" spans="1:7" s="45" customFormat="1" x14ac:dyDescent="0.3">
      <c r="A249" s="47"/>
      <c r="B249" s="47"/>
      <c r="C249" s="136" t="str">
        <f t="shared" si="31"/>
        <v/>
      </c>
      <c r="D249" s="48"/>
      <c r="E249" s="260"/>
      <c r="F249" s="261"/>
      <c r="G249" s="44"/>
    </row>
    <row r="250" spans="1:7" s="45" customFormat="1" x14ac:dyDescent="0.3">
      <c r="A250" s="47"/>
      <c r="B250" s="47"/>
      <c r="C250" s="136" t="str">
        <f t="shared" si="31"/>
        <v/>
      </c>
      <c r="D250" s="48"/>
      <c r="E250" s="260"/>
      <c r="F250" s="261"/>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54"/>
      <c r="F252" s="255"/>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6" t="s">
        <v>14</v>
      </c>
      <c r="F255" s="257"/>
      <c r="G255" s="39"/>
    </row>
    <row r="256" spans="1:7" s="45" customFormat="1" ht="27" x14ac:dyDescent="0.3">
      <c r="A256" s="41" t="s">
        <v>62</v>
      </c>
      <c r="B256" s="42">
        <v>18</v>
      </c>
      <c r="C256" s="134" t="str">
        <f xml:space="preserve"> IF(B256="","",setValueToTime(B256))</f>
        <v>1h30min</v>
      </c>
      <c r="D256" s="48" t="s">
        <v>82</v>
      </c>
      <c r="E256" s="258"/>
      <c r="F256" s="259"/>
      <c r="G256" s="44"/>
    </row>
    <row r="257" spans="1:7" s="45" customFormat="1" ht="27" x14ac:dyDescent="0.3">
      <c r="A257" s="46" t="s">
        <v>72</v>
      </c>
      <c r="B257" s="47">
        <v>10</v>
      </c>
      <c r="C257" s="135" t="str">
        <f t="shared" ref="C257:C263" si="32" xml:space="preserve"> IF(B257="","",setValueToTime(B257))</f>
        <v>0h50min</v>
      </c>
      <c r="D257" s="48" t="s">
        <v>83</v>
      </c>
      <c r="E257" s="260"/>
      <c r="F257" s="261"/>
      <c r="G257" s="44"/>
    </row>
    <row r="258" spans="1:7" s="45" customFormat="1" ht="27" x14ac:dyDescent="0.3">
      <c r="A258" s="46" t="s">
        <v>71</v>
      </c>
      <c r="B258" s="47">
        <v>1</v>
      </c>
      <c r="C258" s="135" t="str">
        <f t="shared" si="32"/>
        <v>0h5min</v>
      </c>
      <c r="D258" s="48" t="s">
        <v>80</v>
      </c>
      <c r="E258" s="260"/>
      <c r="F258" s="261"/>
      <c r="G258" s="44"/>
    </row>
    <row r="259" spans="1:7" s="45" customFormat="1" x14ac:dyDescent="0.3">
      <c r="A259" s="46" t="s">
        <v>81</v>
      </c>
      <c r="B259" s="47">
        <v>3</v>
      </c>
      <c r="C259" s="135" t="str">
        <f t="shared" si="32"/>
        <v>0h15min</v>
      </c>
      <c r="D259" s="48" t="s">
        <v>87</v>
      </c>
      <c r="E259" s="260"/>
      <c r="F259" s="261"/>
      <c r="G259" s="44"/>
    </row>
    <row r="260" spans="1:7" s="45" customFormat="1" x14ac:dyDescent="0.3">
      <c r="A260" s="47"/>
      <c r="B260" s="47"/>
      <c r="C260" s="136" t="str">
        <f t="shared" si="32"/>
        <v/>
      </c>
      <c r="D260" s="48"/>
      <c r="E260" s="260"/>
      <c r="F260" s="261"/>
      <c r="G260" s="44"/>
    </row>
    <row r="261" spans="1:7" s="45" customFormat="1" x14ac:dyDescent="0.3">
      <c r="A261" s="47"/>
      <c r="B261" s="47"/>
      <c r="C261" s="136" t="str">
        <f t="shared" si="32"/>
        <v/>
      </c>
      <c r="D261" s="48"/>
      <c r="E261" s="260"/>
      <c r="F261" s="261"/>
      <c r="G261" s="44"/>
    </row>
    <row r="262" spans="1:7" s="45" customFormat="1" x14ac:dyDescent="0.3">
      <c r="A262" s="47"/>
      <c r="B262" s="47"/>
      <c r="C262" s="136" t="str">
        <f t="shared" si="32"/>
        <v/>
      </c>
      <c r="D262" s="48"/>
      <c r="E262" s="260"/>
      <c r="F262" s="261"/>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54"/>
      <c r="F264" s="255"/>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6" t="s">
        <v>14</v>
      </c>
      <c r="F267" s="257"/>
      <c r="G267" s="39"/>
    </row>
    <row r="268" spans="1:7" s="45" customFormat="1" ht="27" x14ac:dyDescent="0.3">
      <c r="A268" s="41" t="s">
        <v>61</v>
      </c>
      <c r="B268" s="42">
        <v>31</v>
      </c>
      <c r="C268" s="134" t="str">
        <f xml:space="preserve"> IF(B268="","",setValueToTime(B268))</f>
        <v>2h35min</v>
      </c>
      <c r="D268" s="43" t="s">
        <v>77</v>
      </c>
      <c r="E268" s="258"/>
      <c r="F268" s="259"/>
      <c r="G268" s="44"/>
    </row>
    <row r="269" spans="1:7" s="45" customFormat="1" ht="27" x14ac:dyDescent="0.3">
      <c r="A269" s="46" t="s">
        <v>62</v>
      </c>
      <c r="B269" s="47">
        <v>17</v>
      </c>
      <c r="C269" s="135" t="str">
        <f t="shared" ref="C269:C275" si="33" xml:space="preserve"> IF(B269="","",setValueToTime(B269))</f>
        <v>1h25min</v>
      </c>
      <c r="D269" s="48" t="s">
        <v>82</v>
      </c>
      <c r="E269" s="260"/>
      <c r="F269" s="261"/>
      <c r="G269" s="44"/>
    </row>
    <row r="270" spans="1:7" s="45" customFormat="1" x14ac:dyDescent="0.3">
      <c r="A270" s="46"/>
      <c r="B270" s="47"/>
      <c r="C270" s="135" t="str">
        <f t="shared" si="33"/>
        <v/>
      </c>
      <c r="D270" s="48"/>
      <c r="E270" s="260"/>
      <c r="F270" s="261"/>
      <c r="G270" s="44"/>
    </row>
    <row r="271" spans="1:7" s="45" customFormat="1" x14ac:dyDescent="0.3">
      <c r="A271" s="46"/>
      <c r="B271" s="47"/>
      <c r="C271" s="135" t="str">
        <f t="shared" si="33"/>
        <v/>
      </c>
      <c r="D271" s="48"/>
      <c r="E271" s="260"/>
      <c r="F271" s="261"/>
      <c r="G271" s="44"/>
    </row>
    <row r="272" spans="1:7" s="45" customFormat="1" x14ac:dyDescent="0.3">
      <c r="A272" s="47"/>
      <c r="B272" s="47"/>
      <c r="C272" s="136" t="str">
        <f t="shared" si="33"/>
        <v/>
      </c>
      <c r="D272" s="48"/>
      <c r="E272" s="260"/>
      <c r="F272" s="261"/>
      <c r="G272" s="44"/>
    </row>
    <row r="273" spans="1:7" s="45" customFormat="1" x14ac:dyDescent="0.3">
      <c r="A273" s="47"/>
      <c r="B273" s="47"/>
      <c r="C273" s="136" t="str">
        <f t="shared" si="33"/>
        <v/>
      </c>
      <c r="D273" s="48"/>
      <c r="E273" s="260"/>
      <c r="F273" s="261"/>
      <c r="G273" s="44"/>
    </row>
    <row r="274" spans="1:7" s="45" customFormat="1" x14ac:dyDescent="0.3">
      <c r="A274" s="47"/>
      <c r="B274" s="47"/>
      <c r="C274" s="136" t="str">
        <f t="shared" si="33"/>
        <v/>
      </c>
      <c r="D274" s="48"/>
      <c r="E274" s="260"/>
      <c r="F274" s="261"/>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54"/>
      <c r="F276" s="255"/>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6" t="s">
        <v>14</v>
      </c>
      <c r="F279" s="257"/>
      <c r="G279" s="39"/>
    </row>
    <row r="280" spans="1:7" s="45" customFormat="1" ht="27" x14ac:dyDescent="0.3">
      <c r="A280" s="41" t="s">
        <v>61</v>
      </c>
      <c r="B280" s="42">
        <v>25</v>
      </c>
      <c r="C280" s="134" t="str">
        <f xml:space="preserve"> IF(B280="","",setValueToTime(B280))</f>
        <v>2h5min</v>
      </c>
      <c r="D280" s="43" t="s">
        <v>77</v>
      </c>
      <c r="E280" s="258"/>
      <c r="F280" s="259"/>
      <c r="G280" s="44"/>
    </row>
    <row r="281" spans="1:7" s="45" customFormat="1" ht="27" x14ac:dyDescent="0.3">
      <c r="A281" s="46" t="s">
        <v>71</v>
      </c>
      <c r="B281" s="47">
        <v>1</v>
      </c>
      <c r="C281" s="135" t="str">
        <f t="shared" ref="C281:C287" si="34" xml:space="preserve"> IF(B281="","",setValueToTime(B281))</f>
        <v>0h5min</v>
      </c>
      <c r="D281" s="48" t="s">
        <v>80</v>
      </c>
      <c r="E281" s="260"/>
      <c r="F281" s="261"/>
      <c r="G281" s="44"/>
    </row>
    <row r="282" spans="1:7" s="45" customFormat="1" x14ac:dyDescent="0.3">
      <c r="A282" s="46" t="s">
        <v>81</v>
      </c>
      <c r="B282" s="47">
        <v>3</v>
      </c>
      <c r="C282" s="135" t="str">
        <f t="shared" si="34"/>
        <v>0h15min</v>
      </c>
      <c r="D282" s="48" t="s">
        <v>87</v>
      </c>
      <c r="E282" s="260"/>
      <c r="F282" s="261"/>
      <c r="G282" s="44"/>
    </row>
    <row r="283" spans="1:7" s="45" customFormat="1" x14ac:dyDescent="0.3">
      <c r="A283" s="46"/>
      <c r="B283" s="47"/>
      <c r="C283" s="135" t="str">
        <f t="shared" si="34"/>
        <v/>
      </c>
      <c r="D283" s="48"/>
      <c r="E283" s="260"/>
      <c r="F283" s="261"/>
      <c r="G283" s="44"/>
    </row>
    <row r="284" spans="1:7" s="45" customFormat="1" x14ac:dyDescent="0.3">
      <c r="A284" s="47"/>
      <c r="B284" s="47"/>
      <c r="C284" s="136" t="str">
        <f t="shared" si="34"/>
        <v/>
      </c>
      <c r="D284" s="48"/>
      <c r="E284" s="260"/>
      <c r="F284" s="261"/>
      <c r="G284" s="44"/>
    </row>
    <row r="285" spans="1:7" s="45" customFormat="1" x14ac:dyDescent="0.3">
      <c r="A285" s="47"/>
      <c r="B285" s="47"/>
      <c r="C285" s="136" t="str">
        <f t="shared" si="34"/>
        <v/>
      </c>
      <c r="D285" s="48"/>
      <c r="E285" s="260"/>
      <c r="F285" s="261"/>
      <c r="G285" s="44"/>
    </row>
    <row r="286" spans="1:7" s="45" customFormat="1" x14ac:dyDescent="0.3">
      <c r="A286" s="47"/>
      <c r="B286" s="47"/>
      <c r="C286" s="136" t="str">
        <f t="shared" si="34"/>
        <v/>
      </c>
      <c r="D286" s="48"/>
      <c r="E286" s="260"/>
      <c r="F286" s="261"/>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54"/>
      <c r="F288" s="255"/>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6" t="s">
        <v>14</v>
      </c>
      <c r="F291" s="257"/>
      <c r="G291" s="39"/>
    </row>
    <row r="292" spans="1:7" s="45" customFormat="1" ht="27" x14ac:dyDescent="0.3">
      <c r="A292" s="41" t="s">
        <v>60</v>
      </c>
      <c r="B292" s="42">
        <v>38</v>
      </c>
      <c r="C292" s="134" t="str">
        <f xml:space="preserve"> IF(B292="","",setValueToTime(B292))</f>
        <v>3h10min</v>
      </c>
      <c r="D292" s="43" t="s">
        <v>76</v>
      </c>
      <c r="E292" s="258"/>
      <c r="F292" s="259"/>
      <c r="G292" s="44"/>
    </row>
    <row r="293" spans="1:7" s="45" customFormat="1" x14ac:dyDescent="0.3">
      <c r="A293" s="46"/>
      <c r="B293" s="47"/>
      <c r="C293" s="135" t="str">
        <f t="shared" ref="C293:C299" si="35" xml:space="preserve"> IF(B293="","",setValueToTime(B293))</f>
        <v/>
      </c>
      <c r="D293" s="48"/>
      <c r="E293" s="260"/>
      <c r="F293" s="261"/>
      <c r="G293" s="44"/>
    </row>
    <row r="294" spans="1:7" s="45" customFormat="1" x14ac:dyDescent="0.3">
      <c r="A294" s="46"/>
      <c r="B294" s="47"/>
      <c r="C294" s="135" t="str">
        <f t="shared" si="35"/>
        <v/>
      </c>
      <c r="D294" s="48"/>
      <c r="E294" s="260"/>
      <c r="F294" s="261"/>
      <c r="G294" s="44"/>
    </row>
    <row r="295" spans="1:7" s="45" customFormat="1" x14ac:dyDescent="0.3">
      <c r="A295" s="46"/>
      <c r="B295" s="47"/>
      <c r="C295" s="135" t="str">
        <f t="shared" si="35"/>
        <v/>
      </c>
      <c r="D295" s="48"/>
      <c r="E295" s="260"/>
      <c r="F295" s="261"/>
      <c r="G295" s="44"/>
    </row>
    <row r="296" spans="1:7" s="45" customFormat="1" x14ac:dyDescent="0.3">
      <c r="A296" s="47"/>
      <c r="B296" s="47"/>
      <c r="C296" s="136" t="str">
        <f t="shared" si="35"/>
        <v/>
      </c>
      <c r="D296" s="48"/>
      <c r="E296" s="260"/>
      <c r="F296" s="261"/>
      <c r="G296" s="44"/>
    </row>
    <row r="297" spans="1:7" s="45" customFormat="1" x14ac:dyDescent="0.3">
      <c r="A297" s="47"/>
      <c r="B297" s="47"/>
      <c r="C297" s="136" t="str">
        <f t="shared" si="35"/>
        <v/>
      </c>
      <c r="D297" s="48"/>
      <c r="E297" s="260"/>
      <c r="F297" s="261"/>
      <c r="G297" s="44"/>
    </row>
    <row r="298" spans="1:7" s="45" customFormat="1" x14ac:dyDescent="0.3">
      <c r="A298" s="47"/>
      <c r="B298" s="47"/>
      <c r="C298" s="136" t="str">
        <f t="shared" si="35"/>
        <v/>
      </c>
      <c r="D298" s="48"/>
      <c r="E298" s="260"/>
      <c r="F298" s="261"/>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54"/>
      <c r="F300" s="255"/>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6" t="s">
        <v>14</v>
      </c>
      <c r="F303" s="257"/>
      <c r="G303" s="39"/>
    </row>
    <row r="304" spans="1:7" s="45" customFormat="1" ht="40.5" x14ac:dyDescent="0.3">
      <c r="A304" s="41" t="s">
        <v>28</v>
      </c>
      <c r="B304" s="42">
        <v>34</v>
      </c>
      <c r="C304" s="134" t="str">
        <f xml:space="preserve"> IF(B304="","",setValueToTime(B304))</f>
        <v>2h50min</v>
      </c>
      <c r="D304" s="48" t="s">
        <v>59</v>
      </c>
      <c r="E304" s="258"/>
      <c r="F304" s="259"/>
      <c r="G304" s="44"/>
    </row>
    <row r="305" spans="1:7" s="45" customFormat="1" ht="27" x14ac:dyDescent="0.3">
      <c r="A305" s="46" t="s">
        <v>71</v>
      </c>
      <c r="B305" s="47">
        <v>1</v>
      </c>
      <c r="C305" s="135" t="str">
        <f t="shared" ref="C305:C306" si="36" xml:space="preserve"> IF(B305="","",setValueToTime(B305))</f>
        <v>0h5min</v>
      </c>
      <c r="D305" s="48" t="s">
        <v>80</v>
      </c>
      <c r="E305" s="260"/>
      <c r="F305" s="261"/>
      <c r="G305" s="44"/>
    </row>
    <row r="306" spans="1:7" s="45" customFormat="1" x14ac:dyDescent="0.3">
      <c r="A306" s="46" t="s">
        <v>81</v>
      </c>
      <c r="B306" s="47">
        <v>3</v>
      </c>
      <c r="C306" s="135" t="str">
        <f t="shared" si="36"/>
        <v>0h15min</v>
      </c>
      <c r="D306" s="196" t="s">
        <v>88</v>
      </c>
      <c r="E306" s="260"/>
      <c r="F306" s="261"/>
      <c r="G306" s="44"/>
    </row>
    <row r="307" spans="1:7" s="45" customFormat="1" x14ac:dyDescent="0.3">
      <c r="A307" s="46"/>
      <c r="B307" s="47"/>
      <c r="C307" s="135" t="str">
        <f t="shared" ref="C307:C311" si="37" xml:space="preserve"> IF(B307="","",setValueToTime(B307))</f>
        <v/>
      </c>
      <c r="D307" s="48"/>
      <c r="E307" s="260"/>
      <c r="F307" s="261"/>
      <c r="G307" s="44"/>
    </row>
    <row r="308" spans="1:7" s="45" customFormat="1" x14ac:dyDescent="0.3">
      <c r="A308" s="47"/>
      <c r="B308" s="47"/>
      <c r="C308" s="136" t="str">
        <f t="shared" si="37"/>
        <v/>
      </c>
      <c r="D308" s="48"/>
      <c r="E308" s="260"/>
      <c r="F308" s="261"/>
      <c r="G308" s="44"/>
    </row>
    <row r="309" spans="1:7" s="45" customFormat="1" x14ac:dyDescent="0.3">
      <c r="A309" s="47"/>
      <c r="B309" s="47"/>
      <c r="C309" s="136" t="str">
        <f t="shared" si="37"/>
        <v/>
      </c>
      <c r="D309" s="48"/>
      <c r="E309" s="260"/>
      <c r="F309" s="261"/>
      <c r="G309" s="44"/>
    </row>
    <row r="310" spans="1:7" s="45" customFormat="1" x14ac:dyDescent="0.3">
      <c r="A310" s="47"/>
      <c r="B310" s="47"/>
      <c r="C310" s="136" t="str">
        <f t="shared" si="37"/>
        <v/>
      </c>
      <c r="D310" s="48"/>
      <c r="E310" s="260"/>
      <c r="F310" s="261"/>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54"/>
      <c r="F312" s="255"/>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6" t="s">
        <v>14</v>
      </c>
      <c r="F315" s="257"/>
      <c r="G315" s="39"/>
    </row>
    <row r="316" spans="1:7" s="45" customFormat="1" ht="27" x14ac:dyDescent="0.3">
      <c r="A316" s="41" t="s">
        <v>75</v>
      </c>
      <c r="B316" s="42">
        <v>6</v>
      </c>
      <c r="C316" s="134" t="str">
        <f xml:space="preserve"> IF(B316="","",setValueToTime(B316))</f>
        <v>0h30min</v>
      </c>
      <c r="D316" s="43" t="s">
        <v>58</v>
      </c>
      <c r="E316" s="258"/>
      <c r="F316" s="259"/>
      <c r="G316" s="44"/>
    </row>
    <row r="317" spans="1:7" s="45" customFormat="1" ht="40.5" x14ac:dyDescent="0.3">
      <c r="A317" s="46" t="s">
        <v>28</v>
      </c>
      <c r="B317" s="47">
        <v>42</v>
      </c>
      <c r="C317" s="135" t="str">
        <f t="shared" ref="C317:C323" si="38" xml:space="preserve"> IF(B317="","",setValueToTime(B317))</f>
        <v>3h30min</v>
      </c>
      <c r="D317" s="48" t="s">
        <v>59</v>
      </c>
      <c r="E317" s="260"/>
      <c r="F317" s="261"/>
      <c r="G317" s="44"/>
    </row>
    <row r="318" spans="1:7" s="45" customFormat="1" x14ac:dyDescent="0.3">
      <c r="A318" s="46"/>
      <c r="B318" s="47"/>
      <c r="C318" s="135" t="str">
        <f t="shared" si="38"/>
        <v/>
      </c>
      <c r="D318" s="48"/>
      <c r="E318" s="260"/>
      <c r="F318" s="261"/>
      <c r="G318" s="44"/>
    </row>
    <row r="319" spans="1:7" s="45" customFormat="1" x14ac:dyDescent="0.3">
      <c r="A319" s="46"/>
      <c r="B319" s="47"/>
      <c r="C319" s="135" t="str">
        <f t="shared" si="38"/>
        <v/>
      </c>
      <c r="D319" s="48"/>
      <c r="E319" s="260"/>
      <c r="F319" s="261"/>
      <c r="G319" s="44"/>
    </row>
    <row r="320" spans="1:7" s="45" customFormat="1" x14ac:dyDescent="0.3">
      <c r="A320" s="47"/>
      <c r="B320" s="47"/>
      <c r="C320" s="136" t="str">
        <f t="shared" si="38"/>
        <v/>
      </c>
      <c r="D320" s="48"/>
      <c r="E320" s="260"/>
      <c r="F320" s="261"/>
      <c r="G320" s="44"/>
    </row>
    <row r="321" spans="1:7" s="45" customFormat="1" x14ac:dyDescent="0.3">
      <c r="A321" s="47"/>
      <c r="B321" s="47"/>
      <c r="C321" s="136" t="str">
        <f t="shared" si="38"/>
        <v/>
      </c>
      <c r="D321" s="48"/>
      <c r="E321" s="260"/>
      <c r="F321" s="261"/>
      <c r="G321" s="44"/>
    </row>
    <row r="322" spans="1:7" s="45" customFormat="1" x14ac:dyDescent="0.3">
      <c r="A322" s="47"/>
      <c r="B322" s="47"/>
      <c r="C322" s="136" t="str">
        <f t="shared" si="38"/>
        <v/>
      </c>
      <c r="D322" s="48"/>
      <c r="E322" s="260"/>
      <c r="F322" s="261"/>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54"/>
      <c r="F324" s="255"/>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24">
    <cfRule type="cellIs" dxfId="48" priority="27" operator="greaterThan">
      <formula>60</formula>
    </cfRule>
  </conditionalFormatting>
  <conditionalFormatting sqref="B312">
    <cfRule type="cellIs" dxfId="47" priority="26" operator="greaterThan">
      <formula>60</formula>
    </cfRule>
  </conditionalFormatting>
  <conditionalFormatting sqref="B300">
    <cfRule type="cellIs" dxfId="46" priority="25" operator="greaterThan">
      <formula>60</formula>
    </cfRule>
  </conditionalFormatting>
  <conditionalFormatting sqref="B288">
    <cfRule type="cellIs" dxfId="45" priority="24" operator="greaterThan">
      <formula>60</formula>
    </cfRule>
  </conditionalFormatting>
  <conditionalFormatting sqref="B276">
    <cfRule type="cellIs" dxfId="44" priority="23" operator="greaterThan">
      <formula>60</formula>
    </cfRule>
  </conditionalFormatting>
  <conditionalFormatting sqref="B264">
    <cfRule type="cellIs" dxfId="43" priority="22" operator="greaterThan">
      <formula>60</formula>
    </cfRule>
  </conditionalFormatting>
  <conditionalFormatting sqref="B252">
    <cfRule type="cellIs" dxfId="42" priority="21" operator="greaterThan">
      <formula>60</formula>
    </cfRule>
  </conditionalFormatting>
  <conditionalFormatting sqref="B240">
    <cfRule type="cellIs" dxfId="41" priority="20" operator="greaterThan">
      <formula>60</formula>
    </cfRule>
  </conditionalFormatting>
  <conditionalFormatting sqref="B228">
    <cfRule type="cellIs" dxfId="40" priority="19" operator="greaterThan">
      <formula>60</formula>
    </cfRule>
  </conditionalFormatting>
  <conditionalFormatting sqref="B216">
    <cfRule type="cellIs" dxfId="39" priority="18" operator="greaterThan">
      <formula>60</formula>
    </cfRule>
  </conditionalFormatting>
  <conditionalFormatting sqref="B204">
    <cfRule type="cellIs" dxfId="38" priority="17" operator="greaterThan">
      <formula>60</formula>
    </cfRule>
  </conditionalFormatting>
  <conditionalFormatting sqref="B192">
    <cfRule type="cellIs" dxfId="37" priority="16" operator="greaterThan">
      <formula>60</formula>
    </cfRule>
  </conditionalFormatting>
  <conditionalFormatting sqref="B180">
    <cfRule type="cellIs" dxfId="36" priority="15" operator="greaterThan">
      <formula>60</formula>
    </cfRule>
  </conditionalFormatting>
  <conditionalFormatting sqref="B168">
    <cfRule type="cellIs" dxfId="35" priority="14" operator="greaterThan">
      <formula>60</formula>
    </cfRule>
  </conditionalFormatting>
  <conditionalFormatting sqref="B156">
    <cfRule type="cellIs" dxfId="34" priority="13" operator="greaterThan">
      <formula>60</formula>
    </cfRule>
  </conditionalFormatting>
  <conditionalFormatting sqref="B144">
    <cfRule type="cellIs" dxfId="33" priority="12" operator="greaterThan">
      <formula>60</formula>
    </cfRule>
  </conditionalFormatting>
  <conditionalFormatting sqref="B132">
    <cfRule type="cellIs" dxfId="32" priority="11" operator="greaterThan">
      <formula>60</formula>
    </cfRule>
  </conditionalFormatting>
  <conditionalFormatting sqref="B120">
    <cfRule type="cellIs" dxfId="31" priority="10" operator="greaterThan">
      <formula>60</formula>
    </cfRule>
  </conditionalFormatting>
  <conditionalFormatting sqref="B108">
    <cfRule type="cellIs" dxfId="30" priority="9" operator="greaterThan">
      <formula>60</formula>
    </cfRule>
  </conditionalFormatting>
  <conditionalFormatting sqref="B96">
    <cfRule type="cellIs" dxfId="29" priority="8" operator="greaterThan">
      <formula>60</formula>
    </cfRule>
  </conditionalFormatting>
  <conditionalFormatting sqref="B84">
    <cfRule type="cellIs" dxfId="28" priority="7" operator="greaterThan">
      <formula>60</formula>
    </cfRule>
  </conditionalFormatting>
  <conditionalFormatting sqref="B72">
    <cfRule type="cellIs" dxfId="27" priority="6" operator="greaterThan">
      <formula>60</formula>
    </cfRule>
  </conditionalFormatting>
  <conditionalFormatting sqref="B60">
    <cfRule type="cellIs" dxfId="26" priority="5" operator="greaterThan">
      <formula>60</formula>
    </cfRule>
  </conditionalFormatting>
  <conditionalFormatting sqref="B48">
    <cfRule type="cellIs" dxfId="25" priority="4" operator="greaterThan">
      <formula>60</formula>
    </cfRule>
  </conditionalFormatting>
  <conditionalFormatting sqref="B36">
    <cfRule type="cellIs" dxfId="24" priority="3" operator="greaterThan">
      <formula>60</formula>
    </cfRule>
  </conditionalFormatting>
  <conditionalFormatting sqref="B24">
    <cfRule type="cellIs" dxfId="23" priority="2" operator="greaterThan">
      <formula>60</formula>
    </cfRule>
  </conditionalFormatting>
  <conditionalFormatting sqref="B12">
    <cfRule type="cellIs" dxfId="22"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41"/>
  <sheetViews>
    <sheetView showGridLines="0" tabSelected="1" zoomScaleNormal="100" zoomScaleSheetLayoutView="98" workbookViewId="0">
      <pane ySplit="1" topLeftCell="A219" activePane="bottomLeft" state="frozen"/>
      <selection pane="bottomLeft" activeCell="A2" sqref="A2:F241"/>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20</v>
      </c>
      <c r="C2" s="146"/>
      <c r="D2" s="139" t="s">
        <v>15</v>
      </c>
      <c r="E2" s="140" t="s">
        <v>107</v>
      </c>
      <c r="F2" s="141" t="s">
        <v>44</v>
      </c>
      <c r="G2" s="39"/>
    </row>
    <row r="3" spans="1:7" s="40" customFormat="1" ht="30" customHeight="1" thickBot="1" x14ac:dyDescent="0.3">
      <c r="A3" s="70" t="s">
        <v>5</v>
      </c>
      <c r="B3" s="143" t="s">
        <v>37</v>
      </c>
      <c r="C3" s="142"/>
      <c r="D3" s="70" t="s">
        <v>13</v>
      </c>
      <c r="E3" s="266" t="s">
        <v>14</v>
      </c>
      <c r="F3" s="267"/>
      <c r="G3" s="39"/>
    </row>
    <row r="4" spans="1:7" s="45" customFormat="1" ht="27" x14ac:dyDescent="0.3">
      <c r="A4" s="41" t="s">
        <v>73</v>
      </c>
      <c r="B4" s="42">
        <v>4</v>
      </c>
      <c r="C4" s="134" t="str">
        <f xml:space="preserve"> IF(B4="","",setValueToTime(B4))</f>
        <v>0h20min</v>
      </c>
      <c r="D4" s="43" t="s">
        <v>192</v>
      </c>
      <c r="E4" s="268" t="s">
        <v>193</v>
      </c>
      <c r="F4" s="259"/>
      <c r="G4" s="44"/>
    </row>
    <row r="5" spans="1:7" s="45" customFormat="1" ht="40.5" x14ac:dyDescent="0.3">
      <c r="A5" s="46" t="s">
        <v>91</v>
      </c>
      <c r="B5" s="47">
        <v>20</v>
      </c>
      <c r="C5" s="135" t="str">
        <f t="shared" ref="C5:C11" si="0" xml:space="preserve"> IF(B5="","",setValueToTime(B5))</f>
        <v>1h40min</v>
      </c>
      <c r="D5" s="48" t="s">
        <v>194</v>
      </c>
      <c r="E5" s="260"/>
      <c r="F5" s="261"/>
      <c r="G5" s="44"/>
    </row>
    <row r="6" spans="1:7" s="45" customFormat="1" ht="40.5" x14ac:dyDescent="0.3">
      <c r="A6" s="46" t="s">
        <v>72</v>
      </c>
      <c r="B6" s="47">
        <v>10</v>
      </c>
      <c r="C6" s="135" t="str">
        <f t="shared" si="0"/>
        <v>0h50min</v>
      </c>
      <c r="D6" s="48" t="s">
        <v>195</v>
      </c>
      <c r="E6" s="260"/>
      <c r="F6" s="261"/>
      <c r="G6" s="44"/>
    </row>
    <row r="7" spans="1:7" s="45" customFormat="1" ht="27" x14ac:dyDescent="0.3">
      <c r="A7" s="46" t="s">
        <v>71</v>
      </c>
      <c r="B7" s="47">
        <v>2</v>
      </c>
      <c r="C7" s="135" t="str">
        <f t="shared" si="0"/>
        <v>0h10min</v>
      </c>
      <c r="D7" s="48" t="s">
        <v>80</v>
      </c>
      <c r="E7" s="260"/>
      <c r="F7" s="261"/>
      <c r="G7" s="44"/>
    </row>
    <row r="8" spans="1:7" s="45" customFormat="1" ht="27" x14ac:dyDescent="0.3">
      <c r="A8" s="47" t="s">
        <v>81</v>
      </c>
      <c r="B8" s="47">
        <v>2</v>
      </c>
      <c r="C8" s="136" t="str">
        <f t="shared" si="0"/>
        <v>0h10min</v>
      </c>
      <c r="D8" s="48" t="s">
        <v>168</v>
      </c>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44" t="s">
        <v>25</v>
      </c>
      <c r="B12" s="75">
        <f>SUM(B4:B11)</f>
        <v>38</v>
      </c>
      <c r="C12" s="144" t="str">
        <f xml:space="preserve"> setValueToTime(B12)</f>
        <v>3h10min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19</v>
      </c>
      <c r="C14" s="146"/>
      <c r="D14" s="139" t="s">
        <v>15</v>
      </c>
      <c r="E14" s="140" t="s">
        <v>107</v>
      </c>
      <c r="F14" s="141" t="s">
        <v>43</v>
      </c>
      <c r="G14" s="39"/>
    </row>
    <row r="15" spans="1:7" s="40" customFormat="1" ht="30" customHeight="1" thickBot="1" x14ac:dyDescent="0.3">
      <c r="A15" s="70" t="s">
        <v>5</v>
      </c>
      <c r="B15" s="143" t="s">
        <v>37</v>
      </c>
      <c r="C15" s="142"/>
      <c r="D15" s="70" t="s">
        <v>13</v>
      </c>
      <c r="E15" s="266" t="s">
        <v>14</v>
      </c>
      <c r="F15" s="267"/>
      <c r="G15" s="39"/>
    </row>
    <row r="16" spans="1:7" s="45" customFormat="1" ht="40.5" x14ac:dyDescent="0.3">
      <c r="A16" s="41" t="s">
        <v>128</v>
      </c>
      <c r="B16" s="42">
        <v>15</v>
      </c>
      <c r="C16" s="134" t="str">
        <f xml:space="preserve"> IF(B16="","",setValueToTime(B16))</f>
        <v>1h15min</v>
      </c>
      <c r="D16" s="43" t="s">
        <v>189</v>
      </c>
      <c r="E16" s="258"/>
      <c r="F16" s="259"/>
      <c r="G16" s="44"/>
    </row>
    <row r="17" spans="1:7" s="45" customFormat="1" ht="40.5" x14ac:dyDescent="0.3">
      <c r="A17" s="46" t="s">
        <v>67</v>
      </c>
      <c r="B17" s="47">
        <v>9</v>
      </c>
      <c r="C17" s="135" t="str">
        <f t="shared" ref="C17:C23" si="1" xml:space="preserve"> IF(B17="","",setValueToTime(B17))</f>
        <v>0h45min</v>
      </c>
      <c r="D17" s="48" t="s">
        <v>190</v>
      </c>
      <c r="E17" s="260"/>
      <c r="F17" s="261"/>
      <c r="G17" s="44"/>
    </row>
    <row r="18" spans="1:7" s="45" customFormat="1" ht="40.5" x14ac:dyDescent="0.3">
      <c r="A18" s="46" t="s">
        <v>67</v>
      </c>
      <c r="B18" s="47">
        <v>24</v>
      </c>
      <c r="C18" s="135" t="str">
        <f t="shared" si="1"/>
        <v>2h</v>
      </c>
      <c r="D18" s="48" t="s">
        <v>191</v>
      </c>
      <c r="E18" s="260"/>
      <c r="F18" s="261"/>
      <c r="G18" s="44"/>
    </row>
    <row r="19" spans="1:7" s="45" customFormat="1" x14ac:dyDescent="0.3">
      <c r="A19" s="46"/>
      <c r="B19" s="47"/>
      <c r="C19" s="135" t="str">
        <f t="shared" si="1"/>
        <v/>
      </c>
      <c r="D19" s="48"/>
      <c r="E19" s="260"/>
      <c r="F19" s="261"/>
      <c r="G19" s="44"/>
    </row>
    <row r="20" spans="1:7" s="45" customFormat="1" x14ac:dyDescent="0.3">
      <c r="A20" s="47"/>
      <c r="B20" s="47"/>
      <c r="C20" s="136" t="str">
        <f t="shared" si="1"/>
        <v/>
      </c>
      <c r="D20" s="48"/>
      <c r="E20" s="260"/>
      <c r="F20" s="261"/>
      <c r="G20" s="44"/>
    </row>
    <row r="21" spans="1:7" s="45" customFormat="1" x14ac:dyDescent="0.3">
      <c r="A21" s="47"/>
      <c r="B21" s="47"/>
      <c r="C21" s="136" t="str">
        <f t="shared" si="1"/>
        <v/>
      </c>
      <c r="D21" s="48"/>
      <c r="E21" s="260"/>
      <c r="F21" s="261"/>
      <c r="G21" s="44"/>
    </row>
    <row r="22" spans="1:7" s="45" customFormat="1" x14ac:dyDescent="0.3">
      <c r="A22" s="47"/>
      <c r="B22" s="47"/>
      <c r="C22" s="136" t="str">
        <f t="shared" si="1"/>
        <v/>
      </c>
      <c r="D22" s="48"/>
      <c r="E22" s="260"/>
      <c r="F22" s="261"/>
      <c r="G22" s="44"/>
    </row>
    <row r="23" spans="1:7" s="45" customFormat="1" ht="15" thickBot="1" x14ac:dyDescent="0.35">
      <c r="A23" s="49"/>
      <c r="B23" s="49"/>
      <c r="C23" s="137" t="str">
        <f t="shared" si="1"/>
        <v/>
      </c>
      <c r="D23" s="50"/>
      <c r="E23" s="262"/>
      <c r="F23" s="263"/>
      <c r="G23" s="44"/>
    </row>
    <row r="24" spans="1:7" s="45" customFormat="1" ht="15" thickBot="1" x14ac:dyDescent="0.35">
      <c r="A24" s="144" t="s">
        <v>25</v>
      </c>
      <c r="B24" s="75">
        <f>SUM(B16:B23)</f>
        <v>48</v>
      </c>
      <c r="C24" s="144" t="str">
        <f xml:space="preserve"> setValueToTime(B24)</f>
        <v>4h</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18</v>
      </c>
      <c r="C26" s="146"/>
      <c r="D26" s="139" t="s">
        <v>15</v>
      </c>
      <c r="E26" s="140" t="s">
        <v>110</v>
      </c>
      <c r="F26" s="141" t="s">
        <v>44</v>
      </c>
      <c r="G26" s="39"/>
    </row>
    <row r="27" spans="1:7" s="40" customFormat="1" ht="30" customHeight="1" thickBot="1" x14ac:dyDescent="0.3">
      <c r="A27" s="70" t="s">
        <v>5</v>
      </c>
      <c r="B27" s="143" t="s">
        <v>37</v>
      </c>
      <c r="C27" s="142"/>
      <c r="D27" s="70" t="s">
        <v>13</v>
      </c>
      <c r="E27" s="266" t="s">
        <v>14</v>
      </c>
      <c r="F27" s="267"/>
      <c r="G27" s="39"/>
    </row>
    <row r="28" spans="1:7" s="45" customFormat="1" ht="40.5" x14ac:dyDescent="0.3">
      <c r="A28" s="41" t="s">
        <v>66</v>
      </c>
      <c r="B28" s="42">
        <v>25</v>
      </c>
      <c r="C28" s="134" t="str">
        <f xml:space="preserve"> IF(B28="","",setValueToTime(B28))</f>
        <v>2h5min</v>
      </c>
      <c r="D28" s="43" t="s">
        <v>188</v>
      </c>
      <c r="E28" s="258"/>
      <c r="F28" s="259"/>
      <c r="G28" s="44"/>
    </row>
    <row r="29" spans="1:7" s="45" customFormat="1" x14ac:dyDescent="0.3">
      <c r="A29" s="46"/>
      <c r="B29" s="47">
        <v>2</v>
      </c>
      <c r="C29" s="135" t="str">
        <f t="shared" ref="C29:C35" si="2" xml:space="preserve"> IF(B29="","",setValueToTime(B29))</f>
        <v>0h10min</v>
      </c>
      <c r="D29" s="48" t="s">
        <v>80</v>
      </c>
      <c r="E29" s="260"/>
      <c r="F29" s="261"/>
      <c r="G29" s="44"/>
    </row>
    <row r="30" spans="1:7" s="45" customFormat="1" x14ac:dyDescent="0.3">
      <c r="A30" s="46"/>
      <c r="B30" s="47">
        <v>2</v>
      </c>
      <c r="C30" s="135" t="str">
        <f t="shared" si="2"/>
        <v>0h10min</v>
      </c>
      <c r="D30" s="48" t="s">
        <v>168</v>
      </c>
      <c r="E30" s="260"/>
      <c r="F30" s="261"/>
      <c r="G30" s="44"/>
    </row>
    <row r="31" spans="1:7" s="45" customFormat="1" x14ac:dyDescent="0.3">
      <c r="A31" s="46"/>
      <c r="B31" s="47"/>
      <c r="C31" s="135" t="str">
        <f t="shared" si="2"/>
        <v/>
      </c>
      <c r="D31" s="48"/>
      <c r="E31" s="260"/>
      <c r="F31" s="261"/>
      <c r="G31" s="44"/>
    </row>
    <row r="32" spans="1:7" s="45" customFormat="1" x14ac:dyDescent="0.3">
      <c r="A32" s="47"/>
      <c r="B32" s="47"/>
      <c r="C32" s="136" t="str">
        <f t="shared" si="2"/>
        <v/>
      </c>
      <c r="D32" s="48"/>
      <c r="E32" s="260"/>
      <c r="F32" s="261"/>
      <c r="G32" s="44"/>
    </row>
    <row r="33" spans="1:7" s="45" customFormat="1" x14ac:dyDescent="0.3">
      <c r="A33" s="47"/>
      <c r="B33" s="47"/>
      <c r="C33" s="136" t="str">
        <f t="shared" si="2"/>
        <v/>
      </c>
      <c r="D33" s="48"/>
      <c r="E33" s="260"/>
      <c r="F33" s="261"/>
      <c r="G33" s="44"/>
    </row>
    <row r="34" spans="1:7" s="45" customFormat="1" x14ac:dyDescent="0.3">
      <c r="A34" s="47"/>
      <c r="B34" s="47"/>
      <c r="C34" s="136" t="str">
        <f t="shared" si="2"/>
        <v/>
      </c>
      <c r="D34" s="48"/>
      <c r="E34" s="260"/>
      <c r="F34" s="261"/>
      <c r="G34" s="44"/>
    </row>
    <row r="35" spans="1:7" s="45" customFormat="1" ht="15" thickBot="1" x14ac:dyDescent="0.35">
      <c r="A35" s="49"/>
      <c r="B35" s="49"/>
      <c r="C35" s="137" t="str">
        <f t="shared" si="2"/>
        <v/>
      </c>
      <c r="D35" s="50"/>
      <c r="E35" s="262"/>
      <c r="F35" s="263"/>
      <c r="G35" s="44"/>
    </row>
    <row r="36" spans="1:7" s="45" customFormat="1" ht="15" thickBot="1" x14ac:dyDescent="0.35">
      <c r="A36" s="144" t="s">
        <v>25</v>
      </c>
      <c r="B36" s="75">
        <f>SUM(B28:B35)</f>
        <v>29</v>
      </c>
      <c r="C36" s="144" t="str">
        <f xml:space="preserve"> setValueToTime(B36)</f>
        <v>2h25min</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17</v>
      </c>
      <c r="C38" s="146"/>
      <c r="D38" s="139" t="s">
        <v>15</v>
      </c>
      <c r="E38" s="140" t="s">
        <v>110</v>
      </c>
      <c r="F38" s="141" t="s">
        <v>43</v>
      </c>
      <c r="G38" s="39"/>
    </row>
    <row r="39" spans="1:7" s="40" customFormat="1" ht="30" customHeight="1" thickBot="1" x14ac:dyDescent="0.3">
      <c r="A39" s="70" t="s">
        <v>5</v>
      </c>
      <c r="B39" s="143" t="s">
        <v>37</v>
      </c>
      <c r="C39" s="142"/>
      <c r="D39" s="70" t="s">
        <v>13</v>
      </c>
      <c r="E39" s="266" t="s">
        <v>14</v>
      </c>
      <c r="F39" s="267"/>
      <c r="G39" s="39"/>
    </row>
    <row r="40" spans="1:7" s="45" customFormat="1" ht="40.5" x14ac:dyDescent="0.3">
      <c r="A40" s="41" t="s">
        <v>66</v>
      </c>
      <c r="B40" s="42">
        <v>21</v>
      </c>
      <c r="C40" s="134" t="str">
        <f xml:space="preserve"> IF(B40="","",setValueToTime(B40))</f>
        <v>1h45min</v>
      </c>
      <c r="D40" s="43" t="s">
        <v>185</v>
      </c>
      <c r="E40" s="258"/>
      <c r="F40" s="259"/>
      <c r="G40" s="44"/>
    </row>
    <row r="41" spans="1:7" s="45" customFormat="1" ht="27.75" thickBot="1" x14ac:dyDescent="0.35">
      <c r="A41" s="46" t="s">
        <v>75</v>
      </c>
      <c r="B41" s="47">
        <v>9</v>
      </c>
      <c r="C41" s="135" t="str">
        <f t="shared" ref="C41:C47" si="3" xml:space="preserve"> IF(B41="","",setValueToTime(B41))</f>
        <v>0h45min</v>
      </c>
      <c r="D41" s="48" t="s">
        <v>186</v>
      </c>
      <c r="E41" s="260" t="s">
        <v>187</v>
      </c>
      <c r="F41" s="261"/>
      <c r="G41" s="44"/>
    </row>
    <row r="42" spans="1:7" s="45" customFormat="1" ht="40.5" x14ac:dyDescent="0.3">
      <c r="A42" s="41" t="s">
        <v>66</v>
      </c>
      <c r="B42" s="47">
        <v>8</v>
      </c>
      <c r="C42" s="135" t="str">
        <f t="shared" si="3"/>
        <v>0h40min</v>
      </c>
      <c r="D42" s="43" t="s">
        <v>185</v>
      </c>
      <c r="E42" s="260"/>
      <c r="F42" s="261"/>
      <c r="G42" s="44"/>
    </row>
    <row r="43" spans="1:7" s="45" customFormat="1" x14ac:dyDescent="0.3">
      <c r="A43" s="46"/>
      <c r="B43" s="47"/>
      <c r="C43" s="135" t="str">
        <f t="shared" si="3"/>
        <v/>
      </c>
      <c r="D43" s="48"/>
      <c r="E43" s="260"/>
      <c r="F43" s="261"/>
      <c r="G43" s="44"/>
    </row>
    <row r="44" spans="1:7" s="45" customFormat="1" x14ac:dyDescent="0.3">
      <c r="A44" s="47"/>
      <c r="B44" s="47"/>
      <c r="C44" s="136" t="str">
        <f t="shared" si="3"/>
        <v/>
      </c>
      <c r="D44" s="48"/>
      <c r="E44" s="260"/>
      <c r="F44" s="261"/>
      <c r="G44" s="44"/>
    </row>
    <row r="45" spans="1:7" s="45" customFormat="1" x14ac:dyDescent="0.3">
      <c r="A45" s="47"/>
      <c r="B45" s="47"/>
      <c r="C45" s="136" t="str">
        <f t="shared" si="3"/>
        <v/>
      </c>
      <c r="D45" s="48"/>
      <c r="E45" s="260"/>
      <c r="F45" s="261"/>
      <c r="G45" s="44"/>
    </row>
    <row r="46" spans="1:7" s="45" customFormat="1" x14ac:dyDescent="0.3">
      <c r="A46" s="47"/>
      <c r="B46" s="47"/>
      <c r="C46" s="136" t="str">
        <f t="shared" si="3"/>
        <v/>
      </c>
      <c r="D46" s="48"/>
      <c r="E46" s="260"/>
      <c r="F46" s="261"/>
      <c r="G46" s="44"/>
    </row>
    <row r="47" spans="1:7" s="45" customFormat="1" ht="15" thickBot="1" x14ac:dyDescent="0.35">
      <c r="A47" s="49"/>
      <c r="B47" s="49"/>
      <c r="C47" s="137" t="str">
        <f t="shared" si="3"/>
        <v/>
      </c>
      <c r="D47" s="50"/>
      <c r="E47" s="262"/>
      <c r="F47" s="263"/>
      <c r="G47" s="44"/>
    </row>
    <row r="48" spans="1:7" s="45" customFormat="1" ht="15" thickBot="1" x14ac:dyDescent="0.35">
      <c r="A48" s="144" t="s">
        <v>25</v>
      </c>
      <c r="B48" s="75">
        <f>SUM(B40:B47)</f>
        <v>38</v>
      </c>
      <c r="C48" s="144" t="str">
        <f xml:space="preserve"> setValueToTime(B48)</f>
        <v>3h10min</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16</v>
      </c>
      <c r="C50" s="146"/>
      <c r="D50" s="139" t="s">
        <v>15</v>
      </c>
      <c r="E50" s="140" t="s">
        <v>113</v>
      </c>
      <c r="F50" s="141" t="s">
        <v>44</v>
      </c>
      <c r="G50" s="39"/>
    </row>
    <row r="51" spans="1:7" s="40" customFormat="1" ht="30" customHeight="1" thickBot="1" x14ac:dyDescent="0.3">
      <c r="A51" s="70" t="s">
        <v>5</v>
      </c>
      <c r="B51" s="143" t="s">
        <v>37</v>
      </c>
      <c r="C51" s="142"/>
      <c r="D51" s="70" t="s">
        <v>13</v>
      </c>
      <c r="E51" s="266" t="s">
        <v>14</v>
      </c>
      <c r="F51" s="267"/>
      <c r="G51" s="39"/>
    </row>
    <row r="52" spans="1:7" s="45" customFormat="1" ht="40.5" x14ac:dyDescent="0.3">
      <c r="A52" s="41" t="s">
        <v>128</v>
      </c>
      <c r="B52" s="42">
        <v>34</v>
      </c>
      <c r="C52" s="134" t="str">
        <f xml:space="preserve"> IF(B52="","",setValueToTime(B52))</f>
        <v>2h50min</v>
      </c>
      <c r="D52" s="43" t="s">
        <v>182</v>
      </c>
      <c r="E52" s="258"/>
      <c r="F52" s="259"/>
      <c r="G52" s="44"/>
    </row>
    <row r="53" spans="1:7" s="45" customFormat="1" ht="27" x14ac:dyDescent="0.3">
      <c r="A53" s="46" t="s">
        <v>71</v>
      </c>
      <c r="B53" s="47">
        <v>2</v>
      </c>
      <c r="C53" s="135" t="str">
        <f t="shared" ref="C53:C59" si="4" xml:space="preserve"> IF(B53="","",setValueToTime(B53))</f>
        <v>0h10min</v>
      </c>
      <c r="D53" s="48" t="s">
        <v>183</v>
      </c>
      <c r="E53" s="260"/>
      <c r="F53" s="261"/>
      <c r="G53" s="44"/>
    </row>
    <row r="54" spans="1:7" s="45" customFormat="1" ht="27" x14ac:dyDescent="0.3">
      <c r="A54" s="46" t="s">
        <v>81</v>
      </c>
      <c r="B54" s="47">
        <v>2</v>
      </c>
      <c r="C54" s="135" t="str">
        <f t="shared" si="4"/>
        <v>0h10min</v>
      </c>
      <c r="D54" s="48" t="s">
        <v>168</v>
      </c>
      <c r="E54" s="260"/>
      <c r="F54" s="261"/>
      <c r="G54" s="44"/>
    </row>
    <row r="55" spans="1:7" s="45" customFormat="1" ht="60" customHeight="1" x14ac:dyDescent="0.3">
      <c r="A55" s="46"/>
      <c r="B55" s="47"/>
      <c r="C55" s="135" t="str">
        <f t="shared" si="4"/>
        <v/>
      </c>
      <c r="D55" s="48"/>
      <c r="E55" s="260" t="s">
        <v>184</v>
      </c>
      <c r="F55" s="261"/>
      <c r="G55" s="44"/>
    </row>
    <row r="56" spans="1:7" s="45" customFormat="1" x14ac:dyDescent="0.3">
      <c r="A56" s="47"/>
      <c r="B56" s="47"/>
      <c r="C56" s="136" t="str">
        <f t="shared" si="4"/>
        <v/>
      </c>
      <c r="D56" s="48"/>
      <c r="E56" s="260"/>
      <c r="F56" s="261"/>
      <c r="G56" s="44"/>
    </row>
    <row r="57" spans="1:7" s="45" customFormat="1" x14ac:dyDescent="0.3">
      <c r="A57" s="47"/>
      <c r="B57" s="47"/>
      <c r="C57" s="136" t="str">
        <f t="shared" si="4"/>
        <v/>
      </c>
      <c r="D57" s="48"/>
      <c r="E57" s="260"/>
      <c r="F57" s="261"/>
      <c r="G57" s="44"/>
    </row>
    <row r="58" spans="1:7" s="45" customFormat="1" x14ac:dyDescent="0.3">
      <c r="A58" s="47"/>
      <c r="B58" s="47"/>
      <c r="C58" s="136" t="str">
        <f t="shared" si="4"/>
        <v/>
      </c>
      <c r="D58" s="48"/>
      <c r="E58" s="260"/>
      <c r="F58" s="261"/>
      <c r="G58" s="44"/>
    </row>
    <row r="59" spans="1:7" s="45" customFormat="1" ht="15" thickBot="1" x14ac:dyDescent="0.35">
      <c r="A59" s="49"/>
      <c r="B59" s="49"/>
      <c r="C59" s="137" t="str">
        <f t="shared" si="4"/>
        <v/>
      </c>
      <c r="D59" s="50"/>
      <c r="E59" s="262"/>
      <c r="F59" s="263"/>
      <c r="G59" s="44"/>
    </row>
    <row r="60" spans="1:7" s="45" customFormat="1" ht="15" thickBot="1" x14ac:dyDescent="0.35">
      <c r="A60" s="144" t="s">
        <v>25</v>
      </c>
      <c r="B60" s="75">
        <f>SUM(B52:B59)</f>
        <v>38</v>
      </c>
      <c r="C60" s="144" t="str">
        <f xml:space="preserve"> setValueToTime(B60)</f>
        <v>3h10min</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15</v>
      </c>
      <c r="C62" s="146"/>
      <c r="D62" s="139" t="s">
        <v>15</v>
      </c>
      <c r="E62" s="140" t="s">
        <v>113</v>
      </c>
      <c r="F62" s="141" t="s">
        <v>43</v>
      </c>
      <c r="G62" s="39"/>
    </row>
    <row r="63" spans="1:7" s="40" customFormat="1" ht="30" customHeight="1" thickBot="1" x14ac:dyDescent="0.3">
      <c r="A63" s="70" t="s">
        <v>5</v>
      </c>
      <c r="B63" s="143" t="s">
        <v>37</v>
      </c>
      <c r="C63" s="142"/>
      <c r="D63" s="70" t="s">
        <v>13</v>
      </c>
      <c r="E63" s="266" t="s">
        <v>14</v>
      </c>
      <c r="F63" s="267"/>
      <c r="G63" s="39"/>
    </row>
    <row r="64" spans="1:7" s="45" customFormat="1" ht="81" x14ac:dyDescent="0.3">
      <c r="A64" s="41" t="s">
        <v>66</v>
      </c>
      <c r="B64" s="42">
        <v>48</v>
      </c>
      <c r="C64" s="134" t="str">
        <f xml:space="preserve"> IF(B64="","",setValueToTime(B64))</f>
        <v>4h</v>
      </c>
      <c r="D64" s="43" t="s">
        <v>181</v>
      </c>
      <c r="E64" s="258"/>
      <c r="F64" s="259"/>
      <c r="G64" s="44"/>
    </row>
    <row r="65" spans="1:7" s="45" customFormat="1" x14ac:dyDescent="0.3">
      <c r="A65" s="46"/>
      <c r="B65" s="47"/>
      <c r="C65" s="135" t="str">
        <f t="shared" ref="C65:C71" si="5" xml:space="preserve"> IF(B65="","",setValueToTime(B65))</f>
        <v/>
      </c>
      <c r="D65" s="48"/>
      <c r="E65" s="260"/>
      <c r="F65" s="261"/>
      <c r="G65" s="44"/>
    </row>
    <row r="66" spans="1:7" s="45" customFormat="1" x14ac:dyDescent="0.3">
      <c r="A66" s="46"/>
      <c r="B66" s="47"/>
      <c r="C66" s="135" t="str">
        <f t="shared" si="5"/>
        <v/>
      </c>
      <c r="D66" s="48"/>
      <c r="E66" s="260"/>
      <c r="F66" s="261"/>
      <c r="G66" s="44"/>
    </row>
    <row r="67" spans="1:7" s="45" customFormat="1" x14ac:dyDescent="0.3">
      <c r="A67" s="46"/>
      <c r="B67" s="47"/>
      <c r="C67" s="135" t="str">
        <f t="shared" si="5"/>
        <v/>
      </c>
      <c r="D67" s="48"/>
      <c r="E67" s="260"/>
      <c r="F67" s="261"/>
      <c r="G67" s="44"/>
    </row>
    <row r="68" spans="1:7" s="45" customFormat="1" x14ac:dyDescent="0.3">
      <c r="A68" s="47"/>
      <c r="B68" s="47"/>
      <c r="C68" s="136" t="str">
        <f t="shared" si="5"/>
        <v/>
      </c>
      <c r="D68" s="48"/>
      <c r="E68" s="260"/>
      <c r="F68" s="261"/>
      <c r="G68" s="44"/>
    </row>
    <row r="69" spans="1:7" s="45" customFormat="1" x14ac:dyDescent="0.3">
      <c r="A69" s="47"/>
      <c r="B69" s="47"/>
      <c r="C69" s="136" t="str">
        <f t="shared" si="5"/>
        <v/>
      </c>
      <c r="D69" s="48"/>
      <c r="E69" s="260"/>
      <c r="F69" s="261"/>
      <c r="G69" s="44"/>
    </row>
    <row r="70" spans="1:7" s="45" customFormat="1" x14ac:dyDescent="0.3">
      <c r="A70" s="47"/>
      <c r="B70" s="47"/>
      <c r="C70" s="136" t="str">
        <f t="shared" si="5"/>
        <v/>
      </c>
      <c r="D70" s="48"/>
      <c r="E70" s="260"/>
      <c r="F70" s="261"/>
      <c r="G70" s="44"/>
    </row>
    <row r="71" spans="1:7" s="45" customFormat="1" ht="15" thickBot="1" x14ac:dyDescent="0.35">
      <c r="A71" s="49"/>
      <c r="B71" s="49"/>
      <c r="C71" s="137" t="str">
        <f t="shared" si="5"/>
        <v/>
      </c>
      <c r="D71" s="50"/>
      <c r="E71" s="262"/>
      <c r="F71" s="263"/>
      <c r="G71" s="44"/>
    </row>
    <row r="72" spans="1:7" s="45" customFormat="1" ht="15" thickBot="1" x14ac:dyDescent="0.35">
      <c r="A72" s="144" t="s">
        <v>25</v>
      </c>
      <c r="B72" s="75">
        <f>SUM(B64:B71)</f>
        <v>48</v>
      </c>
      <c r="C72" s="144" t="str">
        <f xml:space="preserve"> setValueToTime(B72)</f>
        <v>4h</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14</v>
      </c>
      <c r="C74" s="146"/>
      <c r="D74" s="139" t="s">
        <v>15</v>
      </c>
      <c r="E74" s="140" t="s">
        <v>116</v>
      </c>
      <c r="F74" s="141" t="s">
        <v>44</v>
      </c>
      <c r="G74" s="39"/>
    </row>
    <row r="75" spans="1:7" s="40" customFormat="1" ht="30" customHeight="1" thickBot="1" x14ac:dyDescent="0.3">
      <c r="A75" s="70" t="s">
        <v>5</v>
      </c>
      <c r="B75" s="143" t="s">
        <v>37</v>
      </c>
      <c r="C75" s="142"/>
      <c r="D75" s="70" t="s">
        <v>13</v>
      </c>
      <c r="E75" s="266" t="s">
        <v>14</v>
      </c>
      <c r="F75" s="267"/>
      <c r="G75" s="39"/>
    </row>
    <row r="76" spans="1:7" s="45" customFormat="1" ht="27" x14ac:dyDescent="0.3">
      <c r="A76" s="41" t="s">
        <v>69</v>
      </c>
      <c r="B76" s="42">
        <v>7</v>
      </c>
      <c r="C76" s="134"/>
      <c r="D76" s="43" t="s">
        <v>178</v>
      </c>
      <c r="E76" s="258"/>
      <c r="F76" s="259"/>
      <c r="G76" s="44"/>
    </row>
    <row r="77" spans="1:7" s="45" customFormat="1" ht="67.5" x14ac:dyDescent="0.3">
      <c r="A77" s="46" t="s">
        <v>66</v>
      </c>
      <c r="B77" s="47">
        <v>30</v>
      </c>
      <c r="C77" s="135" t="s">
        <v>179</v>
      </c>
      <c r="D77" s="48" t="s">
        <v>177</v>
      </c>
      <c r="E77" s="260"/>
      <c r="F77" s="261"/>
      <c r="G77" s="44"/>
    </row>
    <row r="78" spans="1:7" s="45" customFormat="1" ht="27" x14ac:dyDescent="0.3">
      <c r="A78" s="46" t="s">
        <v>71</v>
      </c>
      <c r="B78" s="47">
        <v>1</v>
      </c>
      <c r="C78" s="135" t="s">
        <v>180</v>
      </c>
      <c r="D78" s="48" t="s">
        <v>163</v>
      </c>
      <c r="E78" s="260"/>
      <c r="F78" s="261"/>
      <c r="G78" s="44"/>
    </row>
    <row r="79" spans="1:7" s="45" customFormat="1" x14ac:dyDescent="0.3">
      <c r="A79" s="46"/>
      <c r="B79" s="47"/>
      <c r="C79" s="135" t="str">
        <f t="shared" ref="C79:C83" si="6" xml:space="preserve"> IF(B79="","",setValueToTime(B79))</f>
        <v/>
      </c>
      <c r="D79" s="48"/>
      <c r="E79" s="260"/>
      <c r="F79" s="261"/>
      <c r="G79" s="44"/>
    </row>
    <row r="80" spans="1:7" s="45" customFormat="1" x14ac:dyDescent="0.3">
      <c r="A80" s="47"/>
      <c r="B80" s="47"/>
      <c r="C80" s="136" t="str">
        <f t="shared" si="6"/>
        <v/>
      </c>
      <c r="D80" s="48"/>
      <c r="E80" s="260"/>
      <c r="F80" s="261"/>
      <c r="G80" s="44"/>
    </row>
    <row r="81" spans="1:7" s="45" customFormat="1" x14ac:dyDescent="0.3">
      <c r="A81" s="47"/>
      <c r="B81" s="47"/>
      <c r="C81" s="136" t="str">
        <f t="shared" si="6"/>
        <v/>
      </c>
      <c r="D81" s="48"/>
      <c r="E81" s="260"/>
      <c r="F81" s="261"/>
      <c r="G81" s="44"/>
    </row>
    <row r="82" spans="1:7" s="45" customFormat="1" x14ac:dyDescent="0.3">
      <c r="A82" s="47"/>
      <c r="B82" s="47"/>
      <c r="C82" s="136" t="str">
        <f t="shared" si="6"/>
        <v/>
      </c>
      <c r="D82" s="48"/>
      <c r="E82" s="260"/>
      <c r="F82" s="261"/>
      <c r="G82" s="44"/>
    </row>
    <row r="83" spans="1:7" s="45" customFormat="1" ht="15" thickBot="1" x14ac:dyDescent="0.35">
      <c r="A83" s="49"/>
      <c r="B83" s="49"/>
      <c r="C83" s="137" t="str">
        <f t="shared" si="6"/>
        <v/>
      </c>
      <c r="D83" s="50"/>
      <c r="E83" s="262"/>
      <c r="F83" s="263"/>
      <c r="G83" s="44"/>
    </row>
    <row r="84" spans="1:7" s="45" customFormat="1" ht="15" thickBot="1" x14ac:dyDescent="0.35">
      <c r="A84" s="144" t="s">
        <v>25</v>
      </c>
      <c r="B84" s="75">
        <f>SUM(B76:B83)</f>
        <v>38</v>
      </c>
      <c r="C84" s="144" t="str">
        <f xml:space="preserve"> setValueToTime(B84)</f>
        <v>3h10min</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13</v>
      </c>
      <c r="C86" s="146"/>
      <c r="D86" s="139" t="s">
        <v>15</v>
      </c>
      <c r="E86" s="140" t="s">
        <v>118</v>
      </c>
      <c r="F86" s="141" t="s">
        <v>44</v>
      </c>
      <c r="G86" s="39"/>
    </row>
    <row r="87" spans="1:7" s="40" customFormat="1" ht="30" customHeight="1" thickBot="1" x14ac:dyDescent="0.3">
      <c r="A87" s="70" t="s">
        <v>5</v>
      </c>
      <c r="B87" s="143" t="s">
        <v>37</v>
      </c>
      <c r="C87" s="142"/>
      <c r="D87" s="70" t="s">
        <v>13</v>
      </c>
      <c r="E87" s="266" t="s">
        <v>14</v>
      </c>
      <c r="F87" s="267"/>
      <c r="G87" s="39"/>
    </row>
    <row r="88" spans="1:7" s="45" customFormat="1" ht="27" x14ac:dyDescent="0.3">
      <c r="A88" s="41" t="s">
        <v>72</v>
      </c>
      <c r="B88" s="42">
        <v>12</v>
      </c>
      <c r="C88" s="134" t="str">
        <f xml:space="preserve"> IF(B88="","",setValueToTime(B88))</f>
        <v>1h</v>
      </c>
      <c r="D88" s="43" t="s">
        <v>174</v>
      </c>
      <c r="E88" s="258"/>
      <c r="F88" s="259"/>
      <c r="G88" s="44"/>
    </row>
    <row r="89" spans="1:7" s="45" customFormat="1" ht="54" x14ac:dyDescent="0.3">
      <c r="A89" s="46" t="s">
        <v>72</v>
      </c>
      <c r="B89" s="47">
        <v>22</v>
      </c>
      <c r="C89" s="135" t="str">
        <f t="shared" ref="C89:C95" si="7" xml:space="preserve"> IF(B89="","",setValueToTime(B89))</f>
        <v>1h50min</v>
      </c>
      <c r="D89" s="48" t="s">
        <v>175</v>
      </c>
      <c r="E89" s="260"/>
      <c r="F89" s="261"/>
      <c r="G89" s="44"/>
    </row>
    <row r="90" spans="1:7" s="45" customFormat="1" ht="27" x14ac:dyDescent="0.3">
      <c r="A90" s="46" t="s">
        <v>71</v>
      </c>
      <c r="B90" s="47">
        <v>1</v>
      </c>
      <c r="C90" s="135" t="str">
        <f t="shared" si="7"/>
        <v>0h5min</v>
      </c>
      <c r="D90" s="48" t="s">
        <v>176</v>
      </c>
      <c r="E90" s="260"/>
      <c r="F90" s="261"/>
      <c r="G90" s="44"/>
    </row>
    <row r="91" spans="1:7" s="45" customFormat="1" ht="27" x14ac:dyDescent="0.3">
      <c r="A91" s="46" t="s">
        <v>81</v>
      </c>
      <c r="B91" s="47">
        <v>3</v>
      </c>
      <c r="C91" s="135" t="str">
        <f t="shared" si="7"/>
        <v>0h15min</v>
      </c>
      <c r="D91" s="48" t="s">
        <v>168</v>
      </c>
      <c r="E91" s="260"/>
      <c r="F91" s="261"/>
      <c r="G91" s="44"/>
    </row>
    <row r="92" spans="1:7" s="45" customFormat="1" x14ac:dyDescent="0.3">
      <c r="A92" s="47"/>
      <c r="B92" s="47"/>
      <c r="C92" s="136" t="str">
        <f t="shared" si="7"/>
        <v/>
      </c>
      <c r="D92" s="48"/>
      <c r="E92" s="260"/>
      <c r="F92" s="261"/>
      <c r="G92" s="44"/>
    </row>
    <row r="93" spans="1:7" s="45" customFormat="1" x14ac:dyDescent="0.3">
      <c r="A93" s="47"/>
      <c r="B93" s="47"/>
      <c r="C93" s="136" t="str">
        <f t="shared" si="7"/>
        <v/>
      </c>
      <c r="D93" s="48"/>
      <c r="E93" s="260"/>
      <c r="F93" s="261"/>
      <c r="G93" s="44"/>
    </row>
    <row r="94" spans="1:7" s="45" customFormat="1" x14ac:dyDescent="0.3">
      <c r="A94" s="47"/>
      <c r="B94" s="47"/>
      <c r="C94" s="136" t="str">
        <f t="shared" si="7"/>
        <v/>
      </c>
      <c r="D94" s="48"/>
      <c r="E94" s="260"/>
      <c r="F94" s="261"/>
      <c r="G94" s="44"/>
    </row>
    <row r="95" spans="1:7" s="45" customFormat="1" ht="15" thickBot="1" x14ac:dyDescent="0.35">
      <c r="A95" s="49"/>
      <c r="B95" s="49"/>
      <c r="C95" s="137" t="str">
        <f t="shared" si="7"/>
        <v/>
      </c>
      <c r="D95" s="50"/>
      <c r="E95" s="262"/>
      <c r="F95" s="263"/>
      <c r="G95" s="44"/>
    </row>
    <row r="96" spans="1:7" s="45" customFormat="1" ht="15" thickBot="1" x14ac:dyDescent="0.35">
      <c r="A96" s="144" t="s">
        <v>25</v>
      </c>
      <c r="B96" s="75">
        <f>SUM(B88:B95)</f>
        <v>38</v>
      </c>
      <c r="C96" s="144" t="str">
        <f xml:space="preserve"> setValueToTime(B96)</f>
        <v>3h10min</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12</v>
      </c>
      <c r="C98" s="146"/>
      <c r="D98" s="139" t="s">
        <v>15</v>
      </c>
      <c r="E98" s="140" t="s">
        <v>118</v>
      </c>
      <c r="F98" s="141" t="s">
        <v>43</v>
      </c>
      <c r="G98" s="39"/>
    </row>
    <row r="99" spans="1:7" s="40" customFormat="1" ht="30" customHeight="1" thickBot="1" x14ac:dyDescent="0.3">
      <c r="A99" s="70" t="s">
        <v>5</v>
      </c>
      <c r="B99" s="143" t="s">
        <v>37</v>
      </c>
      <c r="C99" s="142"/>
      <c r="D99" s="70" t="s">
        <v>13</v>
      </c>
      <c r="E99" s="266" t="s">
        <v>14</v>
      </c>
      <c r="F99" s="267"/>
      <c r="G99" s="39"/>
    </row>
    <row r="100" spans="1:7" s="45" customFormat="1" ht="27" x14ac:dyDescent="0.3">
      <c r="A100" s="41" t="s">
        <v>72</v>
      </c>
      <c r="B100" s="42">
        <v>19</v>
      </c>
      <c r="C100" s="134" t="str">
        <f xml:space="preserve"> IF(B100="","",setValueToTime(B100))</f>
        <v>1h35min</v>
      </c>
      <c r="D100" s="43" t="s">
        <v>120</v>
      </c>
      <c r="E100" s="258"/>
      <c r="F100" s="259"/>
      <c r="G100" s="44"/>
    </row>
    <row r="101" spans="1:7" s="45" customFormat="1" ht="40.5" x14ac:dyDescent="0.3">
      <c r="A101" s="46" t="s">
        <v>63</v>
      </c>
      <c r="B101" s="47">
        <v>11</v>
      </c>
      <c r="C101" s="135" t="str">
        <f t="shared" ref="C101:C107" si="8" xml:space="preserve"> IF(B101="","",setValueToTime(B101))</f>
        <v>0h55min</v>
      </c>
      <c r="D101" s="48" t="s">
        <v>171</v>
      </c>
      <c r="E101" s="260"/>
      <c r="F101" s="261"/>
      <c r="G101" s="44"/>
    </row>
    <row r="102" spans="1:7" s="45" customFormat="1" ht="40.5" x14ac:dyDescent="0.3">
      <c r="A102" s="46" t="s">
        <v>64</v>
      </c>
      <c r="B102" s="47">
        <v>12</v>
      </c>
      <c r="C102" s="135" t="str">
        <f t="shared" si="8"/>
        <v>1h</v>
      </c>
      <c r="D102" s="48" t="s">
        <v>172</v>
      </c>
      <c r="E102" s="260"/>
      <c r="F102" s="261"/>
      <c r="G102" s="44"/>
    </row>
    <row r="103" spans="1:7" s="45" customFormat="1" ht="40.5" x14ac:dyDescent="0.3">
      <c r="A103" s="46" t="s">
        <v>63</v>
      </c>
      <c r="B103" s="47">
        <v>6</v>
      </c>
      <c r="C103" s="135" t="str">
        <f t="shared" si="8"/>
        <v>0h30min</v>
      </c>
      <c r="D103" s="48" t="s">
        <v>173</v>
      </c>
      <c r="E103" s="260"/>
      <c r="F103" s="261"/>
      <c r="G103" s="44"/>
    </row>
    <row r="104" spans="1:7" s="45" customFormat="1" x14ac:dyDescent="0.3">
      <c r="A104" s="47"/>
      <c r="B104" s="47"/>
      <c r="C104" s="136" t="str">
        <f t="shared" si="8"/>
        <v/>
      </c>
      <c r="D104" s="48"/>
      <c r="E104" s="260"/>
      <c r="F104" s="261"/>
      <c r="G104" s="44"/>
    </row>
    <row r="105" spans="1:7" s="45" customFormat="1" x14ac:dyDescent="0.3">
      <c r="A105" s="47"/>
      <c r="B105" s="47"/>
      <c r="C105" s="136" t="str">
        <f t="shared" si="8"/>
        <v/>
      </c>
      <c r="D105" s="48"/>
      <c r="E105" s="260"/>
      <c r="F105" s="261"/>
      <c r="G105" s="44"/>
    </row>
    <row r="106" spans="1:7" s="45" customFormat="1" x14ac:dyDescent="0.3">
      <c r="A106" s="47"/>
      <c r="B106" s="47"/>
      <c r="C106" s="136" t="str">
        <f t="shared" si="8"/>
        <v/>
      </c>
      <c r="D106" s="48"/>
      <c r="E106" s="260"/>
      <c r="F106" s="261"/>
      <c r="G106" s="44"/>
    </row>
    <row r="107" spans="1:7" s="45" customFormat="1" ht="15" thickBot="1" x14ac:dyDescent="0.35">
      <c r="A107" s="49"/>
      <c r="B107" s="49"/>
      <c r="C107" s="137" t="str">
        <f t="shared" si="8"/>
        <v/>
      </c>
      <c r="D107" s="50"/>
      <c r="E107" s="262"/>
      <c r="F107" s="263"/>
      <c r="G107" s="44"/>
    </row>
    <row r="108" spans="1:7" s="45" customFormat="1" ht="15" thickBot="1" x14ac:dyDescent="0.35">
      <c r="A108" s="144" t="s">
        <v>25</v>
      </c>
      <c r="B108" s="75">
        <f>SUM(B100:B107)</f>
        <v>48</v>
      </c>
      <c r="C108" s="144" t="str">
        <f xml:space="preserve"> setValueToTime(B108)</f>
        <v>4h</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11</v>
      </c>
      <c r="C110" s="146"/>
      <c r="D110" s="139" t="s">
        <v>15</v>
      </c>
      <c r="E110" s="140" t="s">
        <v>46</v>
      </c>
      <c r="F110" s="141" t="s">
        <v>44</v>
      </c>
      <c r="G110" s="39"/>
    </row>
    <row r="111" spans="1:7" s="40" customFormat="1" ht="30" customHeight="1" thickBot="1" x14ac:dyDescent="0.3">
      <c r="A111" s="70" t="s">
        <v>5</v>
      </c>
      <c r="B111" s="143" t="s">
        <v>37</v>
      </c>
      <c r="C111" s="142"/>
      <c r="D111" s="70" t="s">
        <v>13</v>
      </c>
      <c r="E111" s="266" t="s">
        <v>14</v>
      </c>
      <c r="F111" s="267"/>
      <c r="G111" s="39"/>
    </row>
    <row r="112" spans="1:7" s="45" customFormat="1" ht="40.5" x14ac:dyDescent="0.3">
      <c r="A112" s="46" t="s">
        <v>64</v>
      </c>
      <c r="B112" s="47">
        <v>26</v>
      </c>
      <c r="C112" s="135" t="str">
        <f t="shared" ref="C112" si="9" xml:space="preserve"> IF(B112="","",setValueToTime(B112))</f>
        <v>2h10min</v>
      </c>
      <c r="D112" s="48" t="s">
        <v>170</v>
      </c>
      <c r="E112" s="258"/>
      <c r="F112" s="259"/>
      <c r="G112" s="44"/>
    </row>
    <row r="113" spans="1:7" s="45" customFormat="1" ht="27" x14ac:dyDescent="0.3">
      <c r="A113" s="46" t="s">
        <v>71</v>
      </c>
      <c r="B113" s="47">
        <v>1</v>
      </c>
      <c r="C113" s="135" t="str">
        <f t="shared" ref="C113:C119" si="10" xml:space="preserve"> IF(B113="","",setValueToTime(B113))</f>
        <v>0h5min</v>
      </c>
      <c r="D113" s="48" t="s">
        <v>163</v>
      </c>
      <c r="E113" s="260"/>
      <c r="F113" s="261"/>
      <c r="G113" s="44"/>
    </row>
    <row r="114" spans="1:7" s="45" customFormat="1" ht="27" x14ac:dyDescent="0.3">
      <c r="A114" s="46" t="s">
        <v>81</v>
      </c>
      <c r="B114" s="47">
        <v>2</v>
      </c>
      <c r="C114" s="135" t="str">
        <f t="shared" si="10"/>
        <v>0h10min</v>
      </c>
      <c r="D114" s="48" t="s">
        <v>168</v>
      </c>
      <c r="E114" s="260"/>
      <c r="F114" s="261"/>
      <c r="G114" s="44"/>
    </row>
    <row r="115" spans="1:7" s="45" customFormat="1" x14ac:dyDescent="0.3">
      <c r="A115" s="46"/>
      <c r="B115" s="47"/>
      <c r="C115" s="135" t="str">
        <f t="shared" si="10"/>
        <v/>
      </c>
      <c r="D115" s="48"/>
      <c r="E115" s="260"/>
      <c r="F115" s="261"/>
      <c r="G115" s="44"/>
    </row>
    <row r="116" spans="1:7" s="45" customFormat="1" x14ac:dyDescent="0.3">
      <c r="A116" s="47"/>
      <c r="B116" s="47"/>
      <c r="C116" s="136" t="str">
        <f t="shared" si="10"/>
        <v/>
      </c>
      <c r="D116" s="48"/>
      <c r="E116" s="260"/>
      <c r="F116" s="261"/>
      <c r="G116" s="44"/>
    </row>
    <row r="117" spans="1:7" s="45" customFormat="1" x14ac:dyDescent="0.3">
      <c r="A117" s="47"/>
      <c r="B117" s="47"/>
      <c r="C117" s="136" t="str">
        <f t="shared" si="10"/>
        <v/>
      </c>
      <c r="D117" s="48"/>
      <c r="E117" s="260"/>
      <c r="F117" s="261"/>
      <c r="G117" s="44"/>
    </row>
    <row r="118" spans="1:7" s="45" customFormat="1" x14ac:dyDescent="0.3">
      <c r="A118" s="47"/>
      <c r="B118" s="47"/>
      <c r="C118" s="136" t="str">
        <f t="shared" si="10"/>
        <v/>
      </c>
      <c r="D118" s="48"/>
      <c r="E118" s="260"/>
      <c r="F118" s="261"/>
      <c r="G118" s="44"/>
    </row>
    <row r="119" spans="1:7" s="45" customFormat="1" ht="15" thickBot="1" x14ac:dyDescent="0.35">
      <c r="A119" s="49"/>
      <c r="B119" s="49"/>
      <c r="C119" s="137" t="str">
        <f t="shared" si="10"/>
        <v/>
      </c>
      <c r="D119" s="50"/>
      <c r="E119" s="262"/>
      <c r="F119" s="263"/>
      <c r="G119" s="44"/>
    </row>
    <row r="120" spans="1:7" s="45" customFormat="1" ht="15" thickBot="1" x14ac:dyDescent="0.35">
      <c r="A120" s="144" t="s">
        <v>25</v>
      </c>
      <c r="B120" s="75">
        <f>SUM(B112:B119)</f>
        <v>29</v>
      </c>
      <c r="C120" s="144" t="str">
        <f xml:space="preserve"> setValueToTime(B120)</f>
        <v>2h25min</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10</v>
      </c>
      <c r="C122" s="146"/>
      <c r="D122" s="139" t="s">
        <v>15</v>
      </c>
      <c r="E122" s="140" t="s">
        <v>46</v>
      </c>
      <c r="F122" s="141" t="s">
        <v>43</v>
      </c>
      <c r="G122" s="39"/>
    </row>
    <row r="123" spans="1:7" s="40" customFormat="1" ht="30" customHeight="1" thickBot="1" x14ac:dyDescent="0.3">
      <c r="A123" s="70" t="s">
        <v>5</v>
      </c>
      <c r="B123" s="143" t="s">
        <v>37</v>
      </c>
      <c r="C123" s="142"/>
      <c r="D123" s="70" t="s">
        <v>13</v>
      </c>
      <c r="E123" s="266" t="s">
        <v>14</v>
      </c>
      <c r="F123" s="267"/>
      <c r="G123" s="39"/>
    </row>
    <row r="124" spans="1:7" s="45" customFormat="1" ht="27" x14ac:dyDescent="0.3">
      <c r="A124" s="41" t="s">
        <v>64</v>
      </c>
      <c r="B124" s="42">
        <v>20</v>
      </c>
      <c r="C124" s="134" t="str">
        <f xml:space="preserve"> IF(B124="","",setValueToTime(B124))</f>
        <v>1h40min</v>
      </c>
      <c r="D124" s="43" t="s">
        <v>169</v>
      </c>
      <c r="E124" s="258"/>
      <c r="F124" s="259"/>
      <c r="G124" s="44"/>
    </row>
    <row r="125" spans="1:7" s="45" customFormat="1" ht="40.5" x14ac:dyDescent="0.3">
      <c r="A125" s="46" t="s">
        <v>64</v>
      </c>
      <c r="B125" s="47">
        <v>18</v>
      </c>
      <c r="C125" s="135" t="str">
        <f t="shared" ref="C125:C131" si="11" xml:space="preserve"> IF(B125="","",setValueToTime(B125))</f>
        <v>1h30min</v>
      </c>
      <c r="D125" s="48" t="s">
        <v>170</v>
      </c>
      <c r="E125" s="260"/>
      <c r="F125" s="261"/>
      <c r="G125" s="44"/>
    </row>
    <row r="126" spans="1:7" s="45" customFormat="1" x14ac:dyDescent="0.3">
      <c r="A126" s="46"/>
      <c r="B126" s="47"/>
      <c r="C126" s="135" t="str">
        <f t="shared" si="11"/>
        <v/>
      </c>
      <c r="D126" s="48"/>
      <c r="E126" s="260"/>
      <c r="F126" s="261"/>
      <c r="G126" s="44"/>
    </row>
    <row r="127" spans="1:7" s="45" customFormat="1" x14ac:dyDescent="0.3">
      <c r="A127" s="46"/>
      <c r="B127" s="47"/>
      <c r="C127" s="135" t="str">
        <f t="shared" si="11"/>
        <v/>
      </c>
      <c r="D127" s="48"/>
      <c r="E127" s="260"/>
      <c r="F127" s="261"/>
      <c r="G127" s="44"/>
    </row>
    <row r="128" spans="1:7" s="45" customFormat="1" x14ac:dyDescent="0.3">
      <c r="A128" s="47"/>
      <c r="B128" s="47"/>
      <c r="C128" s="136" t="str">
        <f t="shared" si="11"/>
        <v/>
      </c>
      <c r="D128" s="48"/>
      <c r="E128" s="260"/>
      <c r="F128" s="261"/>
      <c r="G128" s="44"/>
    </row>
    <row r="129" spans="1:7" s="45" customFormat="1" x14ac:dyDescent="0.3">
      <c r="A129" s="47"/>
      <c r="B129" s="47"/>
      <c r="C129" s="136" t="str">
        <f t="shared" si="11"/>
        <v/>
      </c>
      <c r="D129" s="48"/>
      <c r="E129" s="260"/>
      <c r="F129" s="261"/>
      <c r="G129" s="44"/>
    </row>
    <row r="130" spans="1:7" s="45" customFormat="1" x14ac:dyDescent="0.3">
      <c r="A130" s="47"/>
      <c r="B130" s="47"/>
      <c r="C130" s="136" t="str">
        <f t="shared" si="11"/>
        <v/>
      </c>
      <c r="D130" s="48"/>
      <c r="E130" s="260"/>
      <c r="F130" s="261"/>
      <c r="G130" s="44"/>
    </row>
    <row r="131" spans="1:7" s="45" customFormat="1" ht="15" thickBot="1" x14ac:dyDescent="0.35">
      <c r="A131" s="49"/>
      <c r="B131" s="49"/>
      <c r="C131" s="137" t="str">
        <f t="shared" si="11"/>
        <v/>
      </c>
      <c r="D131" s="50"/>
      <c r="E131" s="262"/>
      <c r="F131" s="263"/>
      <c r="G131" s="44"/>
    </row>
    <row r="132" spans="1:7" s="45" customFormat="1" ht="15" thickBot="1" x14ac:dyDescent="0.35">
      <c r="A132" s="144" t="s">
        <v>25</v>
      </c>
      <c r="B132" s="75">
        <f>SUM(B124:B131)</f>
        <v>38</v>
      </c>
      <c r="C132" s="144" t="str">
        <f xml:space="preserve"> setValueToTime(B132)</f>
        <v>3h10min</v>
      </c>
      <c r="D132" s="108"/>
      <c r="E132" s="264"/>
      <c r="F132" s="265"/>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9</v>
      </c>
      <c r="C134" s="146"/>
      <c r="D134" s="139" t="s">
        <v>15</v>
      </c>
      <c r="E134" s="140" t="s">
        <v>49</v>
      </c>
      <c r="F134" s="141" t="s">
        <v>44</v>
      </c>
      <c r="G134" s="39"/>
    </row>
    <row r="135" spans="1:7" s="40" customFormat="1" ht="30" customHeight="1" thickBot="1" x14ac:dyDescent="0.3">
      <c r="A135" s="70" t="s">
        <v>5</v>
      </c>
      <c r="B135" s="143" t="s">
        <v>37</v>
      </c>
      <c r="C135" s="142"/>
      <c r="D135" s="70" t="s">
        <v>13</v>
      </c>
      <c r="E135" s="266" t="s">
        <v>14</v>
      </c>
      <c r="F135" s="267"/>
      <c r="G135" s="39"/>
    </row>
    <row r="136" spans="1:7" s="45" customFormat="1" ht="27" x14ac:dyDescent="0.3">
      <c r="A136" s="41" t="s">
        <v>72</v>
      </c>
      <c r="B136" s="42">
        <v>20</v>
      </c>
      <c r="C136" s="134" t="str">
        <f xml:space="preserve"> IF(B136="","",setValueToTime(B136))</f>
        <v>1h40min</v>
      </c>
      <c r="D136" s="43" t="s">
        <v>166</v>
      </c>
      <c r="E136" s="258"/>
      <c r="F136" s="259"/>
      <c r="G136" s="44"/>
    </row>
    <row r="137" spans="1:7" s="45" customFormat="1" ht="27" x14ac:dyDescent="0.3">
      <c r="A137" s="46" t="s">
        <v>91</v>
      </c>
      <c r="B137" s="47">
        <v>15</v>
      </c>
      <c r="C137" s="135" t="str">
        <f t="shared" ref="C137:C143" si="12" xml:space="preserve"> IF(B137="","",setValueToTime(B137))</f>
        <v>1h15min</v>
      </c>
      <c r="D137" s="48" t="s">
        <v>167</v>
      </c>
      <c r="E137" s="260"/>
      <c r="F137" s="261"/>
      <c r="G137" s="44"/>
    </row>
    <row r="138" spans="1:7" s="45" customFormat="1" ht="27" x14ac:dyDescent="0.3">
      <c r="A138" s="46" t="s">
        <v>71</v>
      </c>
      <c r="B138" s="47">
        <v>1</v>
      </c>
      <c r="C138" s="135" t="str">
        <f t="shared" si="12"/>
        <v>0h5min</v>
      </c>
      <c r="D138" s="48" t="s">
        <v>163</v>
      </c>
      <c r="E138" s="260"/>
      <c r="F138" s="261"/>
      <c r="G138" s="44"/>
    </row>
    <row r="139" spans="1:7" s="45" customFormat="1" ht="27" x14ac:dyDescent="0.3">
      <c r="A139" s="46" t="s">
        <v>81</v>
      </c>
      <c r="B139" s="47">
        <v>2</v>
      </c>
      <c r="C139" s="135" t="str">
        <f t="shared" si="12"/>
        <v>0h10min</v>
      </c>
      <c r="D139" s="48" t="s">
        <v>168</v>
      </c>
      <c r="E139" s="260"/>
      <c r="F139" s="261"/>
      <c r="G139" s="44"/>
    </row>
    <row r="140" spans="1:7" s="45" customFormat="1" x14ac:dyDescent="0.3">
      <c r="A140" s="47"/>
      <c r="B140" s="47"/>
      <c r="C140" s="136" t="str">
        <f t="shared" si="12"/>
        <v/>
      </c>
      <c r="D140" s="48"/>
      <c r="E140" s="260"/>
      <c r="F140" s="261"/>
      <c r="G140" s="44"/>
    </row>
    <row r="141" spans="1:7" s="45" customFormat="1" x14ac:dyDescent="0.3">
      <c r="A141" s="47"/>
      <c r="B141" s="47"/>
      <c r="C141" s="136" t="str">
        <f t="shared" si="12"/>
        <v/>
      </c>
      <c r="D141" s="48"/>
      <c r="E141" s="260"/>
      <c r="F141" s="261"/>
      <c r="G141" s="44"/>
    </row>
    <row r="142" spans="1:7" s="45" customFormat="1" x14ac:dyDescent="0.3">
      <c r="A142" s="47"/>
      <c r="B142" s="47"/>
      <c r="C142" s="136" t="str">
        <f t="shared" si="12"/>
        <v/>
      </c>
      <c r="D142" s="48"/>
      <c r="E142" s="260"/>
      <c r="F142" s="261"/>
      <c r="G142" s="44"/>
    </row>
    <row r="143" spans="1:7" s="45" customFormat="1" ht="15" thickBot="1" x14ac:dyDescent="0.35">
      <c r="A143" s="49"/>
      <c r="B143" s="49"/>
      <c r="C143" s="137" t="str">
        <f t="shared" si="12"/>
        <v/>
      </c>
      <c r="D143" s="50"/>
      <c r="E143" s="262"/>
      <c r="F143" s="263"/>
      <c r="G143" s="44"/>
    </row>
    <row r="144" spans="1:7" s="45" customFormat="1" ht="15" thickBot="1" x14ac:dyDescent="0.35">
      <c r="A144" s="144" t="s">
        <v>25</v>
      </c>
      <c r="B144" s="75">
        <f>SUM(B136:B143)</f>
        <v>38</v>
      </c>
      <c r="C144" s="144" t="str">
        <f xml:space="preserve"> setValueToTime(B144)</f>
        <v>3h10min</v>
      </c>
      <c r="D144" s="108"/>
      <c r="E144" s="264"/>
      <c r="F144" s="265"/>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8</v>
      </c>
      <c r="C146" s="146"/>
      <c r="D146" s="139" t="s">
        <v>15</v>
      </c>
      <c r="E146" s="140" t="s">
        <v>49</v>
      </c>
      <c r="F146" s="141" t="s">
        <v>43</v>
      </c>
      <c r="G146" s="39"/>
    </row>
    <row r="147" spans="1:7" s="40" customFormat="1" ht="30" customHeight="1" thickBot="1" x14ac:dyDescent="0.3">
      <c r="A147" s="70" t="s">
        <v>5</v>
      </c>
      <c r="B147" s="143" t="s">
        <v>37</v>
      </c>
      <c r="C147" s="142"/>
      <c r="D147" s="70" t="s">
        <v>13</v>
      </c>
      <c r="E147" s="266" t="s">
        <v>14</v>
      </c>
      <c r="F147" s="267"/>
      <c r="G147" s="39"/>
    </row>
    <row r="148" spans="1:7" s="45" customFormat="1" ht="27" x14ac:dyDescent="0.3">
      <c r="A148" s="41" t="s">
        <v>90</v>
      </c>
      <c r="B148" s="42">
        <v>19</v>
      </c>
      <c r="C148" s="134" t="str">
        <f xml:space="preserve"> IF(B148="","",setValueToTime(B148))</f>
        <v>1h35min</v>
      </c>
      <c r="D148" s="43" t="s">
        <v>164</v>
      </c>
      <c r="E148" s="258"/>
      <c r="F148" s="259"/>
      <c r="G148" s="44"/>
    </row>
    <row r="149" spans="1:7" s="45" customFormat="1" ht="27" x14ac:dyDescent="0.3">
      <c r="A149" s="46" t="s">
        <v>91</v>
      </c>
      <c r="B149" s="47">
        <v>29</v>
      </c>
      <c r="C149" s="135" t="str">
        <f t="shared" ref="C149:C155" si="13" xml:space="preserve"> IF(B149="","",setValueToTime(B149))</f>
        <v>2h25min</v>
      </c>
      <c r="D149" s="48" t="s">
        <v>165</v>
      </c>
      <c r="E149" s="260"/>
      <c r="F149" s="261"/>
      <c r="G149" s="44"/>
    </row>
    <row r="150" spans="1:7" s="45" customFormat="1" x14ac:dyDescent="0.3">
      <c r="A150" s="46"/>
      <c r="B150" s="47"/>
      <c r="C150" s="135" t="str">
        <f t="shared" si="13"/>
        <v/>
      </c>
      <c r="D150" s="48"/>
      <c r="E150" s="260"/>
      <c r="F150" s="261"/>
      <c r="G150" s="44"/>
    </row>
    <row r="151" spans="1:7" s="45" customFormat="1" x14ac:dyDescent="0.3">
      <c r="A151" s="46"/>
      <c r="B151" s="47"/>
      <c r="C151" s="135" t="str">
        <f t="shared" si="13"/>
        <v/>
      </c>
      <c r="D151" s="48"/>
      <c r="E151" s="260"/>
      <c r="F151" s="261"/>
      <c r="G151" s="44"/>
    </row>
    <row r="152" spans="1:7" s="45" customFormat="1" x14ac:dyDescent="0.3">
      <c r="A152" s="47"/>
      <c r="B152" s="47"/>
      <c r="C152" s="136" t="str">
        <f t="shared" si="13"/>
        <v/>
      </c>
      <c r="D152" s="48"/>
      <c r="E152" s="260"/>
      <c r="F152" s="261"/>
      <c r="G152" s="44"/>
    </row>
    <row r="153" spans="1:7" s="45" customFormat="1" x14ac:dyDescent="0.3">
      <c r="A153" s="47"/>
      <c r="B153" s="47"/>
      <c r="C153" s="136" t="str">
        <f t="shared" si="13"/>
        <v/>
      </c>
      <c r="D153" s="48"/>
      <c r="E153" s="260"/>
      <c r="F153" s="261"/>
      <c r="G153" s="44"/>
    </row>
    <row r="154" spans="1:7" s="45" customFormat="1" x14ac:dyDescent="0.3">
      <c r="A154" s="47"/>
      <c r="B154" s="47"/>
      <c r="C154" s="136" t="str">
        <f t="shared" si="13"/>
        <v/>
      </c>
      <c r="D154" s="48"/>
      <c r="E154" s="260"/>
      <c r="F154" s="261"/>
      <c r="G154" s="44"/>
    </row>
    <row r="155" spans="1:7" s="45" customFormat="1" ht="15" thickBot="1" x14ac:dyDescent="0.35">
      <c r="A155" s="49"/>
      <c r="B155" s="49"/>
      <c r="C155" s="137" t="str">
        <f t="shared" si="13"/>
        <v/>
      </c>
      <c r="D155" s="50"/>
      <c r="E155" s="262"/>
      <c r="F155" s="263"/>
      <c r="G155" s="44"/>
    </row>
    <row r="156" spans="1:7" s="45" customFormat="1" ht="15" thickBot="1" x14ac:dyDescent="0.35">
      <c r="A156" s="144" t="s">
        <v>25</v>
      </c>
      <c r="B156" s="75">
        <f>SUM(B148:B155)</f>
        <v>48</v>
      </c>
      <c r="C156" s="144" t="str">
        <f xml:space="preserve"> setValueToTime(B156)</f>
        <v>4h</v>
      </c>
      <c r="D156" s="108"/>
      <c r="E156" s="264"/>
      <c r="F156" s="265"/>
      <c r="G156" s="44"/>
    </row>
    <row r="157" spans="1:7" s="52" customFormat="1" ht="15" thickBot="1" x14ac:dyDescent="0.35">
      <c r="A157" s="69"/>
      <c r="B157" s="69"/>
      <c r="C157" s="69"/>
      <c r="D157" s="69"/>
      <c r="E157" s="69"/>
      <c r="F157" s="69"/>
      <c r="G157" s="51"/>
    </row>
    <row r="158" spans="1:7" s="40" customFormat="1" ht="30" customHeight="1" thickBot="1" x14ac:dyDescent="0.3">
      <c r="A158" s="138" t="s">
        <v>12</v>
      </c>
      <c r="B158" s="146">
        <v>7</v>
      </c>
      <c r="C158" s="146"/>
      <c r="D158" s="139" t="s">
        <v>15</v>
      </c>
      <c r="E158" s="140" t="s">
        <v>52</v>
      </c>
      <c r="F158" s="141" t="s">
        <v>44</v>
      </c>
      <c r="G158" s="39"/>
    </row>
    <row r="159" spans="1:7" s="40" customFormat="1" ht="30" customHeight="1" thickBot="1" x14ac:dyDescent="0.3">
      <c r="A159" s="70" t="s">
        <v>5</v>
      </c>
      <c r="B159" s="143" t="s">
        <v>37</v>
      </c>
      <c r="C159" s="142"/>
      <c r="D159" s="70" t="s">
        <v>13</v>
      </c>
      <c r="E159" s="266" t="s">
        <v>14</v>
      </c>
      <c r="F159" s="267"/>
      <c r="G159" s="39"/>
    </row>
    <row r="160" spans="1:7" s="45" customFormat="1" ht="27" x14ac:dyDescent="0.3">
      <c r="A160" s="41" t="s">
        <v>62</v>
      </c>
      <c r="B160" s="42">
        <v>6</v>
      </c>
      <c r="C160" s="134" t="str">
        <f xml:space="preserve"> IF(B160="","",setValueToTime(B160))</f>
        <v>0h30min</v>
      </c>
      <c r="D160" s="48" t="s">
        <v>158</v>
      </c>
      <c r="E160" s="258"/>
      <c r="F160" s="259"/>
      <c r="G160" s="44"/>
    </row>
    <row r="161" spans="1:7" s="45" customFormat="1" ht="27" x14ac:dyDescent="0.3">
      <c r="A161" s="46" t="s">
        <v>75</v>
      </c>
      <c r="B161" s="47">
        <v>6</v>
      </c>
      <c r="C161" s="135" t="str">
        <f t="shared" ref="C161:C167" si="14" xml:space="preserve"> IF(B161="","",setValueToTime(B161))</f>
        <v>0h30min</v>
      </c>
      <c r="D161" s="48" t="s">
        <v>159</v>
      </c>
      <c r="E161" s="260"/>
      <c r="F161" s="261"/>
      <c r="G161" s="44"/>
    </row>
    <row r="162" spans="1:7" s="45" customFormat="1" ht="27" x14ac:dyDescent="0.3">
      <c r="A162" s="46" t="s">
        <v>69</v>
      </c>
      <c r="B162" s="47">
        <v>12</v>
      </c>
      <c r="C162" s="135" t="str">
        <f t="shared" si="14"/>
        <v>1h</v>
      </c>
      <c r="D162" s="48" t="s">
        <v>160</v>
      </c>
      <c r="E162" s="260"/>
      <c r="F162" s="261"/>
      <c r="G162" s="44"/>
    </row>
    <row r="163" spans="1:7" s="45" customFormat="1" ht="27" x14ac:dyDescent="0.3">
      <c r="A163" s="46" t="s">
        <v>85</v>
      </c>
      <c r="B163" s="47">
        <v>5</v>
      </c>
      <c r="C163" s="135" t="str">
        <f t="shared" si="14"/>
        <v>0h25min</v>
      </c>
      <c r="D163" s="48" t="s">
        <v>161</v>
      </c>
      <c r="E163" s="260"/>
      <c r="F163" s="261"/>
      <c r="G163" s="44"/>
    </row>
    <row r="164" spans="1:7" s="45" customFormat="1" ht="27" x14ac:dyDescent="0.3">
      <c r="A164" s="47" t="s">
        <v>85</v>
      </c>
      <c r="B164" s="47">
        <v>8</v>
      </c>
      <c r="C164" s="136" t="str">
        <f t="shared" si="14"/>
        <v>0h40min</v>
      </c>
      <c r="D164" s="48" t="s">
        <v>162</v>
      </c>
      <c r="E164" s="260"/>
      <c r="F164" s="261"/>
      <c r="G164" s="44"/>
    </row>
    <row r="165" spans="1:7" s="45" customFormat="1" ht="27" x14ac:dyDescent="0.3">
      <c r="A165" s="47" t="s">
        <v>71</v>
      </c>
      <c r="B165" s="47">
        <v>1</v>
      </c>
      <c r="C165" s="136" t="str">
        <f t="shared" si="14"/>
        <v>0h5min</v>
      </c>
      <c r="D165" s="48" t="s">
        <v>163</v>
      </c>
      <c r="E165" s="260"/>
      <c r="F165" s="261"/>
      <c r="G165" s="44"/>
    </row>
    <row r="166" spans="1:7" s="45" customFormat="1" x14ac:dyDescent="0.3">
      <c r="A166" s="47"/>
      <c r="B166" s="47"/>
      <c r="C166" s="136" t="str">
        <f t="shared" si="14"/>
        <v/>
      </c>
      <c r="D166" s="48"/>
      <c r="E166" s="260"/>
      <c r="F166" s="261"/>
      <c r="G166" s="44"/>
    </row>
    <row r="167" spans="1:7" s="45" customFormat="1" ht="15" thickBot="1" x14ac:dyDescent="0.35">
      <c r="A167" s="49"/>
      <c r="B167" s="49"/>
      <c r="C167" s="137" t="str">
        <f t="shared" si="14"/>
        <v/>
      </c>
      <c r="D167" s="50"/>
      <c r="E167" s="262"/>
      <c r="F167" s="263"/>
      <c r="G167" s="44"/>
    </row>
    <row r="168" spans="1:7" s="45" customFormat="1" ht="15" thickBot="1" x14ac:dyDescent="0.35">
      <c r="A168" s="144" t="s">
        <v>25</v>
      </c>
      <c r="B168" s="75">
        <f>SUM(B160:B167)</f>
        <v>38</v>
      </c>
      <c r="C168" s="144" t="str">
        <f xml:space="preserve"> setValueToTime(B168)</f>
        <v>3h10min</v>
      </c>
      <c r="D168" s="108"/>
      <c r="E168" s="264"/>
      <c r="F168" s="265"/>
      <c r="G168" s="44"/>
    </row>
    <row r="169" spans="1:7" s="52" customFormat="1" ht="15" thickBot="1" x14ac:dyDescent="0.35">
      <c r="A169" s="69"/>
      <c r="B169" s="69"/>
      <c r="C169" s="69"/>
      <c r="D169" s="69"/>
      <c r="E169" s="69"/>
      <c r="F169" s="69"/>
      <c r="G169" s="51"/>
    </row>
    <row r="170" spans="1:7" s="40" customFormat="1" ht="30" customHeight="1" thickBot="1" x14ac:dyDescent="0.3">
      <c r="A170" s="138" t="s">
        <v>12</v>
      </c>
      <c r="B170" s="146">
        <v>6</v>
      </c>
      <c r="C170" s="146"/>
      <c r="D170" s="139" t="s">
        <v>15</v>
      </c>
      <c r="E170" s="140" t="s">
        <v>54</v>
      </c>
      <c r="F170" s="141" t="s">
        <v>44</v>
      </c>
      <c r="G170" s="39"/>
    </row>
    <row r="171" spans="1:7" s="40" customFormat="1" ht="30" customHeight="1" thickBot="1" x14ac:dyDescent="0.3">
      <c r="A171" s="70" t="s">
        <v>5</v>
      </c>
      <c r="B171" s="143" t="s">
        <v>37</v>
      </c>
      <c r="C171" s="142"/>
      <c r="D171" s="70" t="s">
        <v>13</v>
      </c>
      <c r="E171" s="266" t="s">
        <v>14</v>
      </c>
      <c r="F171" s="267"/>
      <c r="G171" s="39"/>
    </row>
    <row r="172" spans="1:7" s="45" customFormat="1" ht="27" x14ac:dyDescent="0.3">
      <c r="A172" s="41" t="s">
        <v>72</v>
      </c>
      <c r="B172" s="42">
        <v>14</v>
      </c>
      <c r="C172" s="134" t="str">
        <f xml:space="preserve"> IF(B172="","",setValueToTime(B172))</f>
        <v>1h10min</v>
      </c>
      <c r="D172" s="43" t="s">
        <v>155</v>
      </c>
      <c r="E172" s="258"/>
      <c r="F172" s="259"/>
      <c r="G172" s="44"/>
    </row>
    <row r="173" spans="1:7" s="45" customFormat="1" ht="27" x14ac:dyDescent="0.3">
      <c r="A173" s="46" t="s">
        <v>61</v>
      </c>
      <c r="B173" s="47">
        <v>9</v>
      </c>
      <c r="C173" s="135" t="str">
        <f t="shared" ref="C173:C179" si="15" xml:space="preserve"> IF(B173="","",setValueToTime(B173))</f>
        <v>0h45min</v>
      </c>
      <c r="D173" s="48" t="s">
        <v>156</v>
      </c>
      <c r="E173" s="260"/>
      <c r="F173" s="261"/>
      <c r="G173" s="44"/>
    </row>
    <row r="174" spans="1:7" s="45" customFormat="1" ht="27" x14ac:dyDescent="0.3">
      <c r="A174" s="46" t="s">
        <v>62</v>
      </c>
      <c r="B174" s="47">
        <v>12</v>
      </c>
      <c r="C174" s="135" t="str">
        <f t="shared" si="15"/>
        <v>1h</v>
      </c>
      <c r="D174" s="48" t="s">
        <v>157</v>
      </c>
      <c r="E174" s="260"/>
      <c r="F174" s="261"/>
      <c r="G174" s="44"/>
    </row>
    <row r="175" spans="1:7" s="45" customFormat="1" ht="27" x14ac:dyDescent="0.3">
      <c r="A175" s="46" t="s">
        <v>71</v>
      </c>
      <c r="B175" s="47">
        <v>1</v>
      </c>
      <c r="C175" s="135" t="str">
        <f t="shared" si="15"/>
        <v>0h5min</v>
      </c>
      <c r="D175" s="48" t="s">
        <v>80</v>
      </c>
      <c r="E175" s="260"/>
      <c r="F175" s="261"/>
      <c r="G175" s="44"/>
    </row>
    <row r="176" spans="1:7" s="45" customFormat="1" ht="27" x14ac:dyDescent="0.3">
      <c r="A176" s="47" t="s">
        <v>81</v>
      </c>
      <c r="B176" s="47">
        <v>2</v>
      </c>
      <c r="C176" s="136" t="str">
        <f t="shared" si="15"/>
        <v>0h10min</v>
      </c>
      <c r="D176" s="48" t="s">
        <v>149</v>
      </c>
      <c r="E176" s="260"/>
      <c r="F176" s="261"/>
      <c r="G176" s="44"/>
    </row>
    <row r="177" spans="1:7" s="45" customFormat="1" x14ac:dyDescent="0.3">
      <c r="A177" s="47"/>
      <c r="B177" s="47"/>
      <c r="C177" s="136" t="str">
        <f t="shared" si="15"/>
        <v/>
      </c>
      <c r="D177" s="48"/>
      <c r="E177" s="260"/>
      <c r="F177" s="261"/>
      <c r="G177" s="44"/>
    </row>
    <row r="178" spans="1:7" s="45" customFormat="1" x14ac:dyDescent="0.3">
      <c r="A178" s="47"/>
      <c r="B178" s="47"/>
      <c r="C178" s="136" t="str">
        <f t="shared" si="15"/>
        <v/>
      </c>
      <c r="D178" s="48"/>
      <c r="E178" s="260"/>
      <c r="F178" s="261"/>
      <c r="G178" s="44"/>
    </row>
    <row r="179" spans="1:7" s="45" customFormat="1" ht="15" thickBot="1" x14ac:dyDescent="0.35">
      <c r="A179" s="49"/>
      <c r="B179" s="49"/>
      <c r="C179" s="137" t="str">
        <f t="shared" si="15"/>
        <v/>
      </c>
      <c r="D179" s="50"/>
      <c r="E179" s="262"/>
      <c r="F179" s="263"/>
      <c r="G179" s="44"/>
    </row>
    <row r="180" spans="1:7" s="45" customFormat="1" ht="15" thickBot="1" x14ac:dyDescent="0.35">
      <c r="A180" s="144" t="s">
        <v>25</v>
      </c>
      <c r="B180" s="75">
        <f>SUM(B172:B179)</f>
        <v>38</v>
      </c>
      <c r="C180" s="144" t="str">
        <f xml:space="preserve"> setValueToTime(B180)</f>
        <v>3h10min</v>
      </c>
      <c r="D180" s="108"/>
      <c r="E180" s="264"/>
      <c r="F180" s="265"/>
      <c r="G180" s="44"/>
    </row>
    <row r="181" spans="1:7" s="52" customFormat="1" ht="15" thickBot="1" x14ac:dyDescent="0.35">
      <c r="A181" s="69"/>
      <c r="B181" s="69"/>
      <c r="C181" s="69"/>
      <c r="D181" s="69"/>
      <c r="E181" s="69"/>
      <c r="F181" s="69"/>
      <c r="G181" s="51"/>
    </row>
    <row r="182" spans="1:7" s="40" customFormat="1" ht="30" customHeight="1" thickBot="1" x14ac:dyDescent="0.3">
      <c r="A182" s="138" t="s">
        <v>12</v>
      </c>
      <c r="B182" s="146">
        <v>5</v>
      </c>
      <c r="C182" s="146"/>
      <c r="D182" s="139" t="s">
        <v>15</v>
      </c>
      <c r="E182" s="140" t="s">
        <v>54</v>
      </c>
      <c r="F182" s="141" t="s">
        <v>43</v>
      </c>
      <c r="G182" s="39"/>
    </row>
    <row r="183" spans="1:7" s="40" customFormat="1" ht="30" customHeight="1" thickBot="1" x14ac:dyDescent="0.3">
      <c r="A183" s="70" t="s">
        <v>5</v>
      </c>
      <c r="B183" s="143" t="s">
        <v>37</v>
      </c>
      <c r="C183" s="142"/>
      <c r="D183" s="70" t="s">
        <v>13</v>
      </c>
      <c r="E183" s="266" t="s">
        <v>14</v>
      </c>
      <c r="F183" s="267"/>
      <c r="G183" s="39"/>
    </row>
    <row r="184" spans="1:7" s="45" customFormat="1" ht="27.75" thickBot="1" x14ac:dyDescent="0.35">
      <c r="A184" s="41" t="s">
        <v>72</v>
      </c>
      <c r="B184" s="42">
        <v>14</v>
      </c>
      <c r="C184" s="134" t="str">
        <f xml:space="preserve"> IF(B184="","",setValueToTime(B184))</f>
        <v>1h10min</v>
      </c>
      <c r="D184" s="43" t="s">
        <v>152</v>
      </c>
      <c r="E184" s="258"/>
      <c r="F184" s="259"/>
      <c r="G184" s="44"/>
    </row>
    <row r="185" spans="1:7" s="45" customFormat="1" ht="27" x14ac:dyDescent="0.3">
      <c r="A185" s="46" t="s">
        <v>61</v>
      </c>
      <c r="B185" s="47">
        <v>28</v>
      </c>
      <c r="C185" s="135" t="str">
        <f t="shared" ref="C185:C191" si="16" xml:space="preserve"> IF(B185="","",setValueToTime(B185))</f>
        <v>2h20min</v>
      </c>
      <c r="D185" s="43" t="s">
        <v>154</v>
      </c>
      <c r="E185" s="260"/>
      <c r="F185" s="261"/>
      <c r="G185" s="44"/>
    </row>
    <row r="186" spans="1:7" s="45" customFormat="1" ht="27" x14ac:dyDescent="0.3">
      <c r="A186" s="46" t="s">
        <v>72</v>
      </c>
      <c r="B186" s="47">
        <v>6</v>
      </c>
      <c r="C186" s="135" t="str">
        <f t="shared" si="16"/>
        <v>0h30min</v>
      </c>
      <c r="D186" s="48" t="s">
        <v>153</v>
      </c>
      <c r="E186" s="260"/>
      <c r="F186" s="261"/>
      <c r="G186" s="44"/>
    </row>
    <row r="187" spans="1:7" s="45" customFormat="1" x14ac:dyDescent="0.3">
      <c r="A187" s="46"/>
      <c r="B187" s="47"/>
      <c r="C187" s="135" t="str">
        <f t="shared" si="16"/>
        <v/>
      </c>
      <c r="D187" s="48"/>
      <c r="E187" s="260"/>
      <c r="F187" s="261"/>
      <c r="G187" s="44"/>
    </row>
    <row r="188" spans="1:7" s="45" customFormat="1" x14ac:dyDescent="0.3">
      <c r="A188" s="47"/>
      <c r="B188" s="47"/>
      <c r="C188" s="136" t="str">
        <f t="shared" si="16"/>
        <v/>
      </c>
      <c r="D188" s="48"/>
      <c r="E188" s="260"/>
      <c r="F188" s="261"/>
      <c r="G188" s="44"/>
    </row>
    <row r="189" spans="1:7" s="45" customFormat="1" x14ac:dyDescent="0.3">
      <c r="A189" s="47"/>
      <c r="B189" s="47"/>
      <c r="C189" s="136" t="str">
        <f t="shared" si="16"/>
        <v/>
      </c>
      <c r="D189" s="48"/>
      <c r="E189" s="260"/>
      <c r="F189" s="261"/>
      <c r="G189" s="44"/>
    </row>
    <row r="190" spans="1:7" s="45" customFormat="1" x14ac:dyDescent="0.3">
      <c r="A190" s="47"/>
      <c r="B190" s="47"/>
      <c r="C190" s="136" t="str">
        <f t="shared" si="16"/>
        <v/>
      </c>
      <c r="D190" s="48"/>
      <c r="E190" s="260"/>
      <c r="F190" s="261"/>
      <c r="G190" s="44"/>
    </row>
    <row r="191" spans="1:7" s="45" customFormat="1" ht="15" thickBot="1" x14ac:dyDescent="0.35">
      <c r="A191" s="49"/>
      <c r="B191" s="49"/>
      <c r="C191" s="137" t="str">
        <f t="shared" si="16"/>
        <v/>
      </c>
      <c r="D191" s="50"/>
      <c r="E191" s="262"/>
      <c r="F191" s="263"/>
      <c r="G191" s="44"/>
    </row>
    <row r="192" spans="1:7" s="45" customFormat="1" ht="15" thickBot="1" x14ac:dyDescent="0.35">
      <c r="A192" s="144" t="s">
        <v>25</v>
      </c>
      <c r="B192" s="75">
        <f>SUM(B184:B191)</f>
        <v>48</v>
      </c>
      <c r="C192" s="144" t="str">
        <f xml:space="preserve"> setValueToTime(B192)</f>
        <v>4h</v>
      </c>
      <c r="D192" s="108"/>
      <c r="E192" s="264"/>
      <c r="F192" s="265"/>
      <c r="G192" s="44"/>
    </row>
    <row r="193" spans="1:7" s="52" customFormat="1" ht="15" thickBot="1" x14ac:dyDescent="0.35">
      <c r="A193" s="69"/>
      <c r="B193" s="69"/>
      <c r="C193" s="69"/>
      <c r="D193" s="69"/>
      <c r="E193" s="69"/>
      <c r="F193" s="69"/>
      <c r="G193" s="51"/>
    </row>
    <row r="194" spans="1:7" s="40" customFormat="1" ht="30" customHeight="1" thickBot="1" x14ac:dyDescent="0.3">
      <c r="A194" s="138" t="s">
        <v>12</v>
      </c>
      <c r="B194" s="146">
        <v>4</v>
      </c>
      <c r="C194" s="146"/>
      <c r="D194" s="139" t="s">
        <v>15</v>
      </c>
      <c r="E194" s="140" t="s">
        <v>57</v>
      </c>
      <c r="F194" s="141" t="s">
        <v>44</v>
      </c>
      <c r="G194" s="39"/>
    </row>
    <row r="195" spans="1:7" s="40" customFormat="1" ht="30" customHeight="1" thickBot="1" x14ac:dyDescent="0.3">
      <c r="A195" s="70" t="s">
        <v>5</v>
      </c>
      <c r="B195" s="143" t="s">
        <v>37</v>
      </c>
      <c r="C195" s="142"/>
      <c r="D195" s="70" t="s">
        <v>13</v>
      </c>
      <c r="E195" s="266" t="s">
        <v>14</v>
      </c>
      <c r="F195" s="267"/>
      <c r="G195" s="39"/>
    </row>
    <row r="196" spans="1:7" s="45" customFormat="1" ht="27" x14ac:dyDescent="0.3">
      <c r="A196" s="46" t="s">
        <v>60</v>
      </c>
      <c r="B196" s="47">
        <v>6</v>
      </c>
      <c r="C196" s="135" t="str">
        <f t="shared" ref="C196" si="17" xml:space="preserve"> IF(B196="","",setValueToTime(B196))</f>
        <v>0h30min</v>
      </c>
      <c r="D196" s="48" t="s">
        <v>145</v>
      </c>
      <c r="E196" s="270" t="s">
        <v>147</v>
      </c>
      <c r="F196" s="271"/>
      <c r="G196" s="44"/>
    </row>
    <row r="197" spans="1:7" s="45" customFormat="1" ht="27" x14ac:dyDescent="0.3">
      <c r="A197" s="46" t="s">
        <v>72</v>
      </c>
      <c r="B197" s="47">
        <v>20</v>
      </c>
      <c r="C197" s="135" t="str">
        <f t="shared" ref="C197:C203" si="18" xml:space="preserve"> IF(B197="","",setValueToTime(B197))</f>
        <v>1h40min</v>
      </c>
      <c r="D197" s="48" t="s">
        <v>148</v>
      </c>
      <c r="E197" s="260"/>
      <c r="F197" s="261"/>
      <c r="G197" s="44"/>
    </row>
    <row r="198" spans="1:7" s="45" customFormat="1" ht="27" x14ac:dyDescent="0.3">
      <c r="A198" s="46" t="s">
        <v>71</v>
      </c>
      <c r="B198" s="47">
        <v>1</v>
      </c>
      <c r="C198" s="135" t="str">
        <f t="shared" si="18"/>
        <v>0h5min</v>
      </c>
      <c r="D198" s="48" t="s">
        <v>80</v>
      </c>
      <c r="E198" s="260"/>
      <c r="F198" s="261"/>
      <c r="G198" s="44"/>
    </row>
    <row r="199" spans="1:7" s="45" customFormat="1" ht="27" x14ac:dyDescent="0.3">
      <c r="A199" s="46" t="s">
        <v>81</v>
      </c>
      <c r="B199" s="47">
        <v>2</v>
      </c>
      <c r="C199" s="135" t="str">
        <f t="shared" si="18"/>
        <v>0h10min</v>
      </c>
      <c r="D199" s="48" t="s">
        <v>149</v>
      </c>
      <c r="E199" s="260"/>
      <c r="F199" s="261"/>
      <c r="G199" s="44"/>
    </row>
    <row r="200" spans="1:7" s="45" customFormat="1" x14ac:dyDescent="0.3">
      <c r="A200" s="47"/>
      <c r="B200" s="47"/>
      <c r="C200" s="136" t="str">
        <f t="shared" si="18"/>
        <v/>
      </c>
      <c r="D200" s="48"/>
      <c r="E200" s="260"/>
      <c r="F200" s="261"/>
      <c r="G200" s="44"/>
    </row>
    <row r="201" spans="1:7" s="45" customFormat="1" x14ac:dyDescent="0.3">
      <c r="A201" s="47"/>
      <c r="B201" s="47"/>
      <c r="C201" s="136" t="str">
        <f t="shared" si="18"/>
        <v/>
      </c>
      <c r="D201" s="48"/>
      <c r="E201" s="260"/>
      <c r="F201" s="261"/>
      <c r="G201" s="44"/>
    </row>
    <row r="202" spans="1:7" s="45" customFormat="1" x14ac:dyDescent="0.3">
      <c r="A202" s="47"/>
      <c r="B202" s="47"/>
      <c r="C202" s="136" t="str">
        <f t="shared" si="18"/>
        <v/>
      </c>
      <c r="D202" s="48"/>
      <c r="E202" s="260"/>
      <c r="F202" s="261"/>
      <c r="G202" s="44"/>
    </row>
    <row r="203" spans="1:7" s="45" customFormat="1" ht="15" thickBot="1" x14ac:dyDescent="0.35">
      <c r="A203" s="49"/>
      <c r="B203" s="49"/>
      <c r="C203" s="137" t="str">
        <f t="shared" si="18"/>
        <v/>
      </c>
      <c r="D203" s="50"/>
      <c r="E203" s="262"/>
      <c r="F203" s="263"/>
      <c r="G203" s="44"/>
    </row>
    <row r="204" spans="1:7" s="45" customFormat="1" ht="15" thickBot="1" x14ac:dyDescent="0.35">
      <c r="A204" s="144" t="s">
        <v>25</v>
      </c>
      <c r="B204" s="75">
        <f>SUM(B196:B203)</f>
        <v>29</v>
      </c>
      <c r="C204" s="144" t="str">
        <f xml:space="preserve"> setValueToTime(B204)</f>
        <v>2h25min</v>
      </c>
      <c r="D204" s="108"/>
      <c r="E204" s="264"/>
      <c r="F204" s="265"/>
      <c r="G204" s="44"/>
    </row>
    <row r="205" spans="1:7" s="52" customFormat="1" ht="15" thickBot="1" x14ac:dyDescent="0.35">
      <c r="A205" s="69"/>
      <c r="B205" s="69"/>
      <c r="C205" s="69"/>
      <c r="D205" s="69"/>
      <c r="E205" s="69"/>
      <c r="F205" s="69"/>
      <c r="G205" s="51"/>
    </row>
    <row r="206" spans="1:7" s="40" customFormat="1" ht="30" customHeight="1" thickBot="1" x14ac:dyDescent="0.3">
      <c r="A206" s="138" t="s">
        <v>12</v>
      </c>
      <c r="B206" s="146">
        <v>3</v>
      </c>
      <c r="C206" s="146"/>
      <c r="D206" s="139" t="s">
        <v>15</v>
      </c>
      <c r="E206" s="140" t="s">
        <v>57</v>
      </c>
      <c r="F206" s="141" t="s">
        <v>43</v>
      </c>
      <c r="G206" s="39"/>
    </row>
    <row r="207" spans="1:7" s="40" customFormat="1" ht="30" customHeight="1" thickBot="1" x14ac:dyDescent="0.3">
      <c r="A207" s="70" t="s">
        <v>5</v>
      </c>
      <c r="B207" s="143" t="s">
        <v>37</v>
      </c>
      <c r="C207" s="142"/>
      <c r="D207" s="70" t="s">
        <v>13</v>
      </c>
      <c r="E207" s="266" t="s">
        <v>14</v>
      </c>
      <c r="F207" s="267"/>
      <c r="G207" s="39"/>
    </row>
    <row r="208" spans="1:7" s="45" customFormat="1" ht="27" x14ac:dyDescent="0.3">
      <c r="A208" s="41" t="s">
        <v>28</v>
      </c>
      <c r="B208" s="42">
        <v>9</v>
      </c>
      <c r="C208" s="134" t="str">
        <f xml:space="preserve"> IF(B208="","",setValueToTime(B208))</f>
        <v>0h45min</v>
      </c>
      <c r="D208" s="43" t="s">
        <v>142</v>
      </c>
      <c r="E208" s="268" t="s">
        <v>150</v>
      </c>
      <c r="F208" s="269"/>
      <c r="G208" s="44"/>
    </row>
    <row r="209" spans="1:7" s="45" customFormat="1" ht="27" x14ac:dyDescent="0.3">
      <c r="A209" s="46" t="s">
        <v>28</v>
      </c>
      <c r="B209" s="47">
        <v>3</v>
      </c>
      <c r="C209" s="135" t="str">
        <f t="shared" ref="C209:C215" si="19" xml:space="preserve"> IF(B209="","",setValueToTime(B209))</f>
        <v>0h15min</v>
      </c>
      <c r="D209" s="196" t="s">
        <v>143</v>
      </c>
      <c r="E209" s="270" t="s">
        <v>151</v>
      </c>
      <c r="F209" s="271"/>
      <c r="G209" s="44"/>
    </row>
    <row r="210" spans="1:7" s="45" customFormat="1" ht="27" x14ac:dyDescent="0.3">
      <c r="A210" s="46" t="s">
        <v>60</v>
      </c>
      <c r="B210" s="47">
        <v>26</v>
      </c>
      <c r="C210" s="135" t="str">
        <f t="shared" si="19"/>
        <v>2h10min</v>
      </c>
      <c r="D210" s="48" t="s">
        <v>145</v>
      </c>
      <c r="E210" s="270" t="s">
        <v>146</v>
      </c>
      <c r="F210" s="271"/>
      <c r="G210" s="44"/>
    </row>
    <row r="211" spans="1:7" s="45" customFormat="1" x14ac:dyDescent="0.3">
      <c r="A211" s="46"/>
      <c r="B211" s="47"/>
      <c r="C211" s="135" t="str">
        <f t="shared" si="19"/>
        <v/>
      </c>
      <c r="D211" s="48"/>
      <c r="E211" s="270"/>
      <c r="F211" s="271"/>
      <c r="G211" s="44"/>
    </row>
    <row r="212" spans="1:7" s="45" customFormat="1" x14ac:dyDescent="0.3">
      <c r="A212" s="47"/>
      <c r="B212" s="47"/>
      <c r="C212" s="136" t="str">
        <f t="shared" si="19"/>
        <v/>
      </c>
      <c r="D212" s="48"/>
      <c r="E212" s="260"/>
      <c r="F212" s="261"/>
      <c r="G212" s="44"/>
    </row>
    <row r="213" spans="1:7" s="45" customFormat="1" x14ac:dyDescent="0.3">
      <c r="A213" s="47"/>
      <c r="B213" s="47"/>
      <c r="C213" s="136" t="str">
        <f t="shared" si="19"/>
        <v/>
      </c>
      <c r="D213" s="48"/>
      <c r="E213" s="260"/>
      <c r="F213" s="261"/>
      <c r="G213" s="44"/>
    </row>
    <row r="214" spans="1:7" s="45" customFormat="1" x14ac:dyDescent="0.3">
      <c r="A214" s="47"/>
      <c r="B214" s="47"/>
      <c r="C214" s="136" t="str">
        <f t="shared" si="19"/>
        <v/>
      </c>
      <c r="D214" s="48"/>
      <c r="E214" s="260"/>
      <c r="F214" s="261"/>
      <c r="G214" s="44"/>
    </row>
    <row r="215" spans="1:7" s="45" customFormat="1" ht="15" thickBot="1" x14ac:dyDescent="0.35">
      <c r="A215" s="49"/>
      <c r="B215" s="49"/>
      <c r="C215" s="137" t="str">
        <f t="shared" si="19"/>
        <v/>
      </c>
      <c r="D215" s="50"/>
      <c r="E215" s="262"/>
      <c r="F215" s="263"/>
      <c r="G215" s="44"/>
    </row>
    <row r="216" spans="1:7" s="45" customFormat="1" ht="15" thickBot="1" x14ac:dyDescent="0.35">
      <c r="A216" s="144" t="s">
        <v>25</v>
      </c>
      <c r="B216" s="75">
        <f>SUM(B208:B215)</f>
        <v>38</v>
      </c>
      <c r="C216" s="144" t="str">
        <f xml:space="preserve"> setValueToTime(B216)</f>
        <v>3h10min</v>
      </c>
      <c r="D216" s="108"/>
      <c r="E216" s="264"/>
      <c r="F216" s="265"/>
      <c r="G216" s="44"/>
    </row>
    <row r="217" spans="1:7" s="52" customFormat="1" ht="15" thickBot="1" x14ac:dyDescent="0.35">
      <c r="A217" s="69"/>
      <c r="B217" s="69"/>
      <c r="C217" s="69"/>
      <c r="D217" s="69"/>
      <c r="E217" s="69"/>
      <c r="F217" s="69"/>
      <c r="G217" s="51"/>
    </row>
    <row r="218" spans="1:7" s="40" customFormat="1" ht="30" customHeight="1" thickBot="1" x14ac:dyDescent="0.3">
      <c r="A218" s="138" t="s">
        <v>12</v>
      </c>
      <c r="B218" s="146">
        <v>2</v>
      </c>
      <c r="C218" s="146"/>
      <c r="D218" s="139" t="s">
        <v>15</v>
      </c>
      <c r="E218" s="140" t="s">
        <v>42</v>
      </c>
      <c r="F218" s="141" t="s">
        <v>44</v>
      </c>
      <c r="G218" s="39"/>
    </row>
    <row r="219" spans="1:7" s="40" customFormat="1" ht="30" customHeight="1" thickBot="1" x14ac:dyDescent="0.3">
      <c r="A219" s="70" t="s">
        <v>5</v>
      </c>
      <c r="B219" s="143" t="s">
        <v>37</v>
      </c>
      <c r="C219" s="142"/>
      <c r="D219" s="70" t="s">
        <v>13</v>
      </c>
      <c r="E219" s="266" t="s">
        <v>14</v>
      </c>
      <c r="F219" s="267"/>
      <c r="G219" s="39"/>
    </row>
    <row r="220" spans="1:7" s="45" customFormat="1" ht="40.5" x14ac:dyDescent="0.3">
      <c r="A220" s="41" t="s">
        <v>28</v>
      </c>
      <c r="B220" s="42">
        <v>31</v>
      </c>
      <c r="C220" s="134" t="str">
        <f xml:space="preserve"> IF(B220="","",setValueToTime(B220))</f>
        <v>2h35min</v>
      </c>
      <c r="D220" s="48" t="s">
        <v>59</v>
      </c>
      <c r="E220" s="258"/>
      <c r="F220" s="259"/>
      <c r="G220" s="44"/>
    </row>
    <row r="221" spans="1:7" s="45" customFormat="1" ht="27" x14ac:dyDescent="0.3">
      <c r="A221" s="46" t="s">
        <v>81</v>
      </c>
      <c r="B221" s="47">
        <v>3</v>
      </c>
      <c r="C221" s="135" t="str">
        <f t="shared" ref="C221:C227" si="20" xml:space="preserve"> IF(B221="","",setValueToTime(B221))</f>
        <v>0h15min</v>
      </c>
      <c r="D221" s="196" t="s">
        <v>141</v>
      </c>
      <c r="E221" s="270" t="s">
        <v>144</v>
      </c>
      <c r="F221" s="271"/>
      <c r="G221" s="44"/>
    </row>
    <row r="222" spans="1:7" s="45" customFormat="1" ht="27" x14ac:dyDescent="0.3">
      <c r="A222" s="46" t="s">
        <v>71</v>
      </c>
      <c r="B222" s="47">
        <v>1</v>
      </c>
      <c r="C222" s="135" t="str">
        <f t="shared" si="20"/>
        <v>0h5min</v>
      </c>
      <c r="D222" s="48" t="s">
        <v>80</v>
      </c>
      <c r="E222" s="260"/>
      <c r="F222" s="261"/>
      <c r="G222" s="44"/>
    </row>
    <row r="223" spans="1:7" s="45" customFormat="1" ht="27" x14ac:dyDescent="0.3">
      <c r="A223" s="46" t="s">
        <v>81</v>
      </c>
      <c r="B223" s="47">
        <v>3</v>
      </c>
      <c r="C223" s="135" t="str">
        <f t="shared" si="20"/>
        <v>0h15min</v>
      </c>
      <c r="D223" s="48" t="s">
        <v>87</v>
      </c>
      <c r="E223" s="260"/>
      <c r="F223" s="261"/>
      <c r="G223" s="44"/>
    </row>
    <row r="224" spans="1:7" s="45" customFormat="1" x14ac:dyDescent="0.3">
      <c r="A224" s="47"/>
      <c r="B224" s="47"/>
      <c r="C224" s="136" t="str">
        <f t="shared" si="20"/>
        <v/>
      </c>
      <c r="D224" s="48"/>
      <c r="E224" s="260"/>
      <c r="F224" s="261"/>
      <c r="G224" s="44"/>
    </row>
    <row r="225" spans="1:7" s="45" customFormat="1" x14ac:dyDescent="0.3">
      <c r="A225" s="47"/>
      <c r="B225" s="47"/>
      <c r="C225" s="136" t="str">
        <f t="shared" si="20"/>
        <v/>
      </c>
      <c r="D225" s="48"/>
      <c r="E225" s="260"/>
      <c r="F225" s="261"/>
      <c r="G225" s="44"/>
    </row>
    <row r="226" spans="1:7" s="45" customFormat="1" x14ac:dyDescent="0.3">
      <c r="A226" s="47"/>
      <c r="B226" s="47"/>
      <c r="C226" s="136" t="str">
        <f t="shared" si="20"/>
        <v/>
      </c>
      <c r="D226" s="48"/>
      <c r="E226" s="260"/>
      <c r="F226" s="261"/>
      <c r="G226" s="44"/>
    </row>
    <row r="227" spans="1:7" s="45" customFormat="1" ht="15" thickBot="1" x14ac:dyDescent="0.35">
      <c r="A227" s="49"/>
      <c r="B227" s="49"/>
      <c r="C227" s="137" t="str">
        <f t="shared" si="20"/>
        <v/>
      </c>
      <c r="D227" s="50"/>
      <c r="E227" s="262"/>
      <c r="F227" s="263"/>
      <c r="G227" s="44"/>
    </row>
    <row r="228" spans="1:7" s="45" customFormat="1" ht="15" thickBot="1" x14ac:dyDescent="0.35">
      <c r="A228" s="144" t="s">
        <v>25</v>
      </c>
      <c r="B228" s="75">
        <f>SUM(B220:B227)</f>
        <v>38</v>
      </c>
      <c r="C228" s="144" t="str">
        <f xml:space="preserve"> setValueToTime(B228)</f>
        <v>3h10min</v>
      </c>
      <c r="D228" s="108"/>
      <c r="E228" s="264"/>
      <c r="F228" s="265"/>
      <c r="G228" s="44"/>
    </row>
    <row r="229" spans="1:7" s="52" customFormat="1" ht="15" thickBot="1" x14ac:dyDescent="0.35">
      <c r="A229" s="69"/>
      <c r="B229" s="69"/>
      <c r="C229" s="69"/>
      <c r="D229" s="69"/>
      <c r="E229" s="69"/>
      <c r="F229" s="69"/>
      <c r="G229" s="51"/>
    </row>
    <row r="230" spans="1:7" s="40" customFormat="1" ht="30" customHeight="1" thickBot="1" x14ac:dyDescent="0.3">
      <c r="A230" s="138" t="s">
        <v>12</v>
      </c>
      <c r="B230" s="146">
        <v>1</v>
      </c>
      <c r="C230" s="146"/>
      <c r="D230" s="139" t="s">
        <v>15</v>
      </c>
      <c r="E230" s="140" t="s">
        <v>42</v>
      </c>
      <c r="F230" s="141" t="s">
        <v>43</v>
      </c>
      <c r="G230" s="39"/>
    </row>
    <row r="231" spans="1:7" s="40" customFormat="1" ht="30" customHeight="1" thickBot="1" x14ac:dyDescent="0.3">
      <c r="A231" s="70" t="s">
        <v>5</v>
      </c>
      <c r="B231" s="143" t="s">
        <v>37</v>
      </c>
      <c r="C231" s="142"/>
      <c r="D231" s="70" t="s">
        <v>13</v>
      </c>
      <c r="E231" s="266" t="s">
        <v>14</v>
      </c>
      <c r="F231" s="267"/>
      <c r="G231" s="39"/>
    </row>
    <row r="232" spans="1:7" s="45" customFormat="1" ht="27.75" thickBot="1" x14ac:dyDescent="0.35">
      <c r="A232" s="41" t="s">
        <v>75</v>
      </c>
      <c r="B232" s="42">
        <v>6</v>
      </c>
      <c r="C232" s="134" t="str">
        <f xml:space="preserve"> IF(B232="","",setValueToTime(B232))</f>
        <v>0h30min</v>
      </c>
      <c r="D232" s="197" t="s">
        <v>140</v>
      </c>
      <c r="E232" s="258"/>
      <c r="F232" s="259"/>
      <c r="G232" s="44"/>
    </row>
    <row r="233" spans="1:7" s="45" customFormat="1" ht="40.5" x14ac:dyDescent="0.3">
      <c r="A233" s="41" t="s">
        <v>28</v>
      </c>
      <c r="B233" s="47">
        <v>42</v>
      </c>
      <c r="C233" s="135" t="str">
        <f t="shared" ref="C233:C239" si="21" xml:space="preserve"> IF(B233="","",setValueToTime(B233))</f>
        <v>3h30min</v>
      </c>
      <c r="D233" s="48" t="s">
        <v>59</v>
      </c>
      <c r="E233" s="260"/>
      <c r="F233" s="261"/>
      <c r="G233" s="44"/>
    </row>
    <row r="234" spans="1:7" s="45" customFormat="1" x14ac:dyDescent="0.3">
      <c r="A234" s="46"/>
      <c r="B234" s="47"/>
      <c r="C234" s="135" t="str">
        <f t="shared" si="21"/>
        <v/>
      </c>
      <c r="D234" s="48"/>
      <c r="E234" s="260"/>
      <c r="F234" s="261"/>
      <c r="G234" s="44"/>
    </row>
    <row r="235" spans="1:7" s="45" customFormat="1" x14ac:dyDescent="0.3">
      <c r="A235" s="46"/>
      <c r="B235" s="47"/>
      <c r="C235" s="135" t="str">
        <f t="shared" si="21"/>
        <v/>
      </c>
      <c r="D235" s="48"/>
      <c r="E235" s="260"/>
      <c r="F235" s="261"/>
      <c r="G235" s="44"/>
    </row>
    <row r="236" spans="1:7" s="45" customFormat="1" x14ac:dyDescent="0.3">
      <c r="A236" s="47"/>
      <c r="B236" s="47"/>
      <c r="C236" s="136" t="str">
        <f t="shared" si="21"/>
        <v/>
      </c>
      <c r="D236" s="48"/>
      <c r="E236" s="260"/>
      <c r="F236" s="261"/>
      <c r="G236" s="44"/>
    </row>
    <row r="237" spans="1:7" s="45" customFormat="1" x14ac:dyDescent="0.3">
      <c r="A237" s="47"/>
      <c r="B237" s="47"/>
      <c r="C237" s="136" t="str">
        <f t="shared" si="21"/>
        <v/>
      </c>
      <c r="D237" s="48"/>
      <c r="E237" s="260"/>
      <c r="F237" s="261"/>
      <c r="G237" s="44"/>
    </row>
    <row r="238" spans="1:7" s="45" customFormat="1" x14ac:dyDescent="0.3">
      <c r="A238" s="47"/>
      <c r="B238" s="47"/>
      <c r="C238" s="136" t="str">
        <f t="shared" si="21"/>
        <v/>
      </c>
      <c r="D238" s="48"/>
      <c r="E238" s="260"/>
      <c r="F238" s="261"/>
      <c r="G238" s="44"/>
    </row>
    <row r="239" spans="1:7" s="45" customFormat="1" ht="15" thickBot="1" x14ac:dyDescent="0.35">
      <c r="A239" s="49"/>
      <c r="B239" s="49"/>
      <c r="C239" s="137" t="str">
        <f t="shared" si="21"/>
        <v/>
      </c>
      <c r="D239" s="50"/>
      <c r="E239" s="262"/>
      <c r="F239" s="263"/>
      <c r="G239" s="44"/>
    </row>
    <row r="240" spans="1:7" s="45" customFormat="1" ht="15" thickBot="1" x14ac:dyDescent="0.35">
      <c r="A240" s="144" t="s">
        <v>25</v>
      </c>
      <c r="B240" s="75">
        <f>SUM(B232:B239)</f>
        <v>48</v>
      </c>
      <c r="C240" s="144" t="str">
        <f xml:space="preserve"> setValueToTime(B240)</f>
        <v>4h</v>
      </c>
      <c r="D240" s="108"/>
      <c r="E240" s="264"/>
      <c r="F240" s="265"/>
      <c r="G240" s="44"/>
    </row>
    <row r="241" spans="1:7" s="52" customFormat="1" x14ac:dyDescent="0.3">
      <c r="A241" s="69"/>
      <c r="B241" s="69"/>
      <c r="C241" s="69"/>
      <c r="D241" s="69"/>
      <c r="E241" s="69"/>
      <c r="F241" s="69"/>
      <c r="G241" s="51"/>
    </row>
  </sheetData>
  <sheetProtection formatRows="0" insertRows="0" insertHyperlinks="0" deleteRows="0" selectLockedCells="1"/>
  <mergeCells count="20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68:F168"/>
    <mergeCell ref="E159:F159"/>
    <mergeCell ref="E160:F160"/>
    <mergeCell ref="E161:F161"/>
    <mergeCell ref="E162:F162"/>
    <mergeCell ref="E163:F163"/>
    <mergeCell ref="E128:F128"/>
    <mergeCell ref="E129:F129"/>
    <mergeCell ref="E130:F130"/>
    <mergeCell ref="E131:F131"/>
    <mergeCell ref="E132:F132"/>
    <mergeCell ref="E144:F144"/>
    <mergeCell ref="E143:F143"/>
    <mergeCell ref="E214:F214"/>
    <mergeCell ref="E215:F215"/>
    <mergeCell ref="E216:F216"/>
    <mergeCell ref="E209:F209"/>
    <mergeCell ref="E210:F210"/>
    <mergeCell ref="E211:F211"/>
    <mergeCell ref="E212:F212"/>
    <mergeCell ref="E213:F213"/>
    <mergeCell ref="E238:F238"/>
    <mergeCell ref="E239:F239"/>
    <mergeCell ref="E240:F240"/>
    <mergeCell ref="E219:F219"/>
    <mergeCell ref="E220:F220"/>
    <mergeCell ref="E221:F221"/>
    <mergeCell ref="E222:F222"/>
    <mergeCell ref="E223:F223"/>
    <mergeCell ref="E224:F224"/>
    <mergeCell ref="E231:F231"/>
    <mergeCell ref="E232:F232"/>
    <mergeCell ref="E233:F233"/>
    <mergeCell ref="E234:F234"/>
    <mergeCell ref="E235:F235"/>
    <mergeCell ref="E236:F236"/>
    <mergeCell ref="E225:F225"/>
    <mergeCell ref="E226:F226"/>
    <mergeCell ref="E227:F227"/>
    <mergeCell ref="E228:F228"/>
    <mergeCell ref="E237:F237"/>
    <mergeCell ref="E204:F204"/>
    <mergeCell ref="E207:F207"/>
    <mergeCell ref="E208:F208"/>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47:F147"/>
    <mergeCell ref="E148:F148"/>
    <mergeCell ref="E149:F149"/>
    <mergeCell ref="E150:F150"/>
    <mergeCell ref="E151:F151"/>
    <mergeCell ref="E152:F152"/>
    <mergeCell ref="E153:F153"/>
    <mergeCell ref="E154:F154"/>
    <mergeCell ref="E155:F155"/>
    <mergeCell ref="E156:F156"/>
    <mergeCell ref="E171:F171"/>
    <mergeCell ref="E172:F172"/>
    <mergeCell ref="E173:F173"/>
    <mergeCell ref="E174:F174"/>
    <mergeCell ref="E175:F175"/>
    <mergeCell ref="E176:F176"/>
    <mergeCell ref="E177:F177"/>
    <mergeCell ref="E178:F178"/>
    <mergeCell ref="E179:F179"/>
    <mergeCell ref="E164:F164"/>
    <mergeCell ref="E165:F165"/>
    <mergeCell ref="E166:F166"/>
    <mergeCell ref="E167:F167"/>
    <mergeCell ref="E99:F99"/>
    <mergeCell ref="E100:F100"/>
    <mergeCell ref="E101:F101"/>
    <mergeCell ref="E102:F102"/>
    <mergeCell ref="E103:F103"/>
    <mergeCell ref="E104:F104"/>
    <mergeCell ref="E105:F105"/>
    <mergeCell ref="E106:F106"/>
    <mergeCell ref="E107:F107"/>
    <mergeCell ref="E108:F108"/>
    <mergeCell ref="E135:F135"/>
    <mergeCell ref="E136:F136"/>
    <mergeCell ref="E137:F137"/>
    <mergeCell ref="E138:F138"/>
    <mergeCell ref="E139:F139"/>
    <mergeCell ref="E140:F140"/>
    <mergeCell ref="E141:F141"/>
    <mergeCell ref="E142:F14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96:F96"/>
    <mergeCell ref="E87:F87"/>
    <mergeCell ref="E88:F88"/>
    <mergeCell ref="E89:F89"/>
    <mergeCell ref="E90:F90"/>
    <mergeCell ref="E91:F91"/>
    <mergeCell ref="E92:F92"/>
    <mergeCell ref="E93:F93"/>
    <mergeCell ref="E94:F94"/>
    <mergeCell ref="E95:F95"/>
    <mergeCell ref="E84:F84"/>
    <mergeCell ref="E75:F75"/>
    <mergeCell ref="E76:F76"/>
    <mergeCell ref="E77:F77"/>
    <mergeCell ref="E78:F78"/>
    <mergeCell ref="E79:F79"/>
    <mergeCell ref="E80:F80"/>
    <mergeCell ref="E81:F81"/>
    <mergeCell ref="E82:F82"/>
    <mergeCell ref="E83:F8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s>
  <phoneticPr fontId="0" type="noConversion"/>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32:B239 B220:B227 B208:B215 B196:B203 B184:B191 B172:B179 B160:B167 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0 B228 B216 B204 B192 B180 B168 B156 B144 B132 B120 B108 B96 B84 B72 B60 B48 B36 B24 B12" xr:uid="{139DA4DE-34DF-4F96-9283-081148AECD9D}">
      <formula1>0</formula1>
      <formula2>60</formula2>
    </dataValidation>
    <dataValidation type="list" allowBlank="1" showInputMessage="1" showErrorMessage="1" sqref="A232:A239 A220:A227 A208:A215 A196:A203 A184:A191 A172:A179 A160:A167 A148:A155 A136:A143 A124:A131 A112:A119 A100:A107 A88:A95 A76:A83 A64:A71 A52:A59 A40:A47 A28:A35 A16:A23 A4:A11" xr:uid="{87747DD5-BFF6-4070-ADED-45A147A69BE9}">
      <formula1>ListeTaches</formula1>
    </dataValidation>
  </dataValidations>
  <hyperlinks>
    <hyperlink ref="E208:F208" r:id="rId1" display="2025-05-05-AdamKablouti-diagrammePlanificationInitiale.pdf" xr:uid="{EC18FEC9-BBD4-4E7A-9344-FF06BE05EBB3}"/>
    <hyperlink ref="E209:F209" r:id="rId2" display="2025-05-05-AdamKablouti-SequencePlanificationInitiale.pdf" xr:uid="{E77E5056-770E-4CAD-AB08-D99CBEAF81EA}"/>
    <hyperlink ref="E221:F221" r:id="rId3" display="https://github.com/KabloutiAdam/GestionEcurieF1-TPI" xr:uid="{5017DC8D-FF2D-42D2-859A-1ED534C0E810}"/>
    <hyperlink ref="E221" r:id="rId4" xr:uid="{456B1A91-7F47-4AA2-9D6D-D114B05866AA}"/>
    <hyperlink ref="E210:F210" r:id="rId5" display="..\Schemas\logigrammes\connexion.svg" xr:uid="{BF53BFF2-2A42-431C-8FE4-2D2297E74E32}"/>
    <hyperlink ref="E196:F196" r:id="rId6" display="..\Schemas\logigrammes\lancementSaison.svg" xr:uid="{B03833AB-41D1-4F24-A8E9-0B9EFBBCFE62}"/>
    <hyperlink ref="E4" r:id="rId7" xr:uid="{9FC0BA73-43A4-4D7D-8FAE-35B07C053BF8}"/>
  </hyperlinks>
  <printOptions horizontalCentered="1" verticalCentered="1"/>
  <pageMargins left="0.78740157480314965" right="0.78740157480314965" top="0.98425196850393704" bottom="0.98425196850393704" header="0.51181102362204722" footer="0.51181102362204722"/>
  <pageSetup paperSize="9" fitToHeight="0" orientation="landscape" r:id="rId8"/>
  <headerFooter alignWithMargins="0">
    <oddHeader>&amp;L&amp;"ETML,Normal"&amp;14ETML&amp;R&amp;14&amp;USection Informatique</oddHeader>
    <oddFooter>&amp;L&amp;14&amp;D&amp;C&amp;14&amp;F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6" t="s">
        <v>14</v>
      </c>
      <c r="F2" s="25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54"/>
      <c r="F11" s="255"/>
      <c r="G11" s="44"/>
    </row>
    <row r="12" spans="1:7" s="52" customFormat="1" x14ac:dyDescent="0.3">
      <c r="A12" s="71"/>
      <c r="B12" s="71"/>
      <c r="C12" s="71"/>
      <c r="D12" s="71"/>
      <c r="E12" s="71"/>
      <c r="F12" s="71"/>
      <c r="G12" s="51"/>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2025-05-21T14:26:59Z</cp:lastPrinted>
  <dcterms:created xsi:type="dcterms:W3CDTF">1996-10-21T11:03:58Z</dcterms:created>
  <dcterms:modified xsi:type="dcterms:W3CDTF">2025-05-21T14:27:45Z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